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mc:AlternateContent xmlns:mc="http://schemas.openxmlformats.org/markup-compatibility/2006">
    <mc:Choice Requires="x15">
      <x15ac:absPath xmlns:x15ac="http://schemas.microsoft.com/office/spreadsheetml/2010/11/ac" url="https://d.docs.live.net/c4d7a25f631560fc/Desktop/"/>
    </mc:Choice>
  </mc:AlternateContent>
  <xr:revisionPtr revIDLastSave="93" documentId="8_{FF07B449-5894-48D9-B7C9-000C6EDCDB69}" xr6:coauthVersionLast="47" xr6:coauthVersionMax="47" xr10:uidLastSave="{EFE4E08D-93E2-4A38-B12A-C9EA2C09B106}"/>
  <bookViews>
    <workbookView xWindow="-120" yWindow="-120" windowWidth="29040" windowHeight="15720" xr2:uid="{00000000-000D-0000-FFFF-FFFF00000000}"/>
  </bookViews>
  <sheets>
    <sheet name="Rivington Application" sheetId="1" r:id="rId1"/>
    <sheet name="Vehicle List" sheetId="2" r:id="rId2"/>
    <sheet name="Driver List" sheetId="3" r:id="rId3"/>
    <sheet name="Data" sheetId="4" state="hidden" r:id="rId4"/>
    <sheet name="Broker List" sheetId="5" state="hidden" r:id="rId5"/>
  </sheets>
  <externalReferences>
    <externalReference r:id="rId6"/>
  </externalReferences>
  <definedNames>
    <definedName name="_xlnm._FilterDatabase" localSheetId="4" hidden="1">'Broker List'!$G$1:$L$121</definedName>
    <definedName name="APType_APType">[1]!APType[AP Type]</definedName>
    <definedName name="Cameras_Cameras">[1]!Cameras[Cameras]</definedName>
    <definedName name="ded">#REF!</definedName>
    <definedName name="Deductible">#REF!</definedName>
    <definedName name="Fees_Fees">[1]!Fees[Fees]</definedName>
    <definedName name="_xlnm.Print_Area" localSheetId="2">'Driver List'!$B$1:$T$232</definedName>
    <definedName name="_xlnm.Print_Area" localSheetId="0">'Rivington Application'!$A$1:$T$373</definedName>
    <definedName name="_xlnm.Print_Area" localSheetId="1">'Vehicle List'!$A$1:$W$21</definedName>
    <definedName name="QuoteType_QuoteType">[1]!QuoteType[Quote Type]</definedName>
    <definedName name="Risk_Management_Fee">[1]!Fees[Fees]</definedName>
    <definedName name="tax_state">[1]!Tax[State]</definedName>
    <definedName name="Wheelchair_Wheelchair">[1]!Wheelchair[Wheelchair]</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 i="1" l="1"/>
  <c r="T202" i="1"/>
  <c r="G202" i="1"/>
  <c r="D202" i="1"/>
  <c r="B202" i="1"/>
  <c r="P162" i="1"/>
  <c r="E289" i="4"/>
  <c r="A289" i="4"/>
  <c r="E288" i="4"/>
  <c r="A288" i="4"/>
  <c r="E287" i="4"/>
  <c r="A287" i="4"/>
  <c r="E282" i="4"/>
  <c r="A282" i="4"/>
  <c r="O142" i="1"/>
  <c r="I140" i="1" s="1"/>
  <c r="E290" i="4"/>
  <c r="A290" i="4"/>
</calcChain>
</file>

<file path=xl/sharedStrings.xml><?xml version="1.0" encoding="utf-8"?>
<sst xmlns="http://schemas.openxmlformats.org/spreadsheetml/2006/main" count="1905" uniqueCount="1412">
  <si>
    <t>BROKER INFORMATION</t>
  </si>
  <si>
    <t>Date:</t>
  </si>
  <si>
    <r>
      <t>Agency:</t>
    </r>
    <r>
      <rPr>
        <u/>
        <sz val="10"/>
        <rFont val="Arial"/>
        <family val="2"/>
      </rPr>
      <t xml:space="preserve">                                                                         </t>
    </r>
  </si>
  <si>
    <t>Producer's Name:</t>
  </si>
  <si>
    <t>Anabela Fuentes</t>
  </si>
  <si>
    <t>Agency Phone:</t>
  </si>
  <si>
    <t>E-Mail Address:</t>
  </si>
  <si>
    <t>Agency Fax:</t>
  </si>
  <si>
    <t>Producer Phone:</t>
  </si>
  <si>
    <t>Are you the incumbent agency?</t>
  </si>
  <si>
    <t>Y</t>
  </si>
  <si>
    <t>If Y, how long has your agency written this applicant?</t>
  </si>
  <si>
    <t>Is this a brokered account?</t>
  </si>
  <si>
    <t>N</t>
  </si>
  <si>
    <t>APPLICANT INFORMATION</t>
  </si>
  <si>
    <t>Effective Date:</t>
  </si>
  <si>
    <t xml:space="preserve"> Requested Quote Date:</t>
  </si>
  <si>
    <t>Applicant's Name:</t>
  </si>
  <si>
    <t>Business Type:</t>
  </si>
  <si>
    <t>Partnership</t>
  </si>
  <si>
    <t>Insured DBA:</t>
  </si>
  <si>
    <t>Federal ID #:</t>
  </si>
  <si>
    <t>Year Established:</t>
  </si>
  <si>
    <t>Years in Business:</t>
  </si>
  <si>
    <t>Account Category (choose most applicable):</t>
  </si>
  <si>
    <t>Is this a new venture?</t>
  </si>
  <si>
    <t>If new venture, have you ever driven for or been associated with any transportation operation before?</t>
  </si>
  <si>
    <t>If Y, please list name of company:</t>
  </si>
  <si>
    <t xml:space="preserve">Mailing Address </t>
  </si>
  <si>
    <t>Garaging Address (if different)</t>
  </si>
  <si>
    <t>Mailing City</t>
  </si>
  <si>
    <t>Garaging City</t>
  </si>
  <si>
    <t>Mailing State</t>
  </si>
  <si>
    <t>Garaging State</t>
  </si>
  <si>
    <t>Mailing Zip</t>
  </si>
  <si>
    <t>Garaging Zip</t>
  </si>
  <si>
    <t>Are mailing and garaging addresses the same?</t>
  </si>
  <si>
    <t>Primary City of Operations:</t>
  </si>
  <si>
    <t>Primary City Zip Code (any zip in city)</t>
  </si>
  <si>
    <t>Additional Named Insured 1:</t>
  </si>
  <si>
    <t>Additional Insured 1 Address:</t>
  </si>
  <si>
    <t>Additional Named Insured 2:</t>
  </si>
  <si>
    <t>Additional Insured 2 Address:</t>
  </si>
  <si>
    <t>Phone:</t>
  </si>
  <si>
    <t>Fax:</t>
  </si>
  <si>
    <t>Company Website:</t>
  </si>
  <si>
    <t>Facebook:</t>
  </si>
  <si>
    <t>Key Management Personnel:</t>
  </si>
  <si>
    <t>Applicant Contact:</t>
  </si>
  <si>
    <t>e-mail:</t>
  </si>
  <si>
    <t>Ph./Ext.:</t>
  </si>
  <si>
    <t>President/CEO/Owner/Fleet Manager:</t>
  </si>
  <si>
    <t>Yrs. in Position:</t>
  </si>
  <si>
    <t>Operations Manager:</t>
  </si>
  <si>
    <t>Safety Director:</t>
  </si>
  <si>
    <t>Maintenance Director:</t>
  </si>
  <si>
    <t>Subsidiaries/Affiliated Companies</t>
  </si>
  <si>
    <t>Name:</t>
  </si>
  <si>
    <t>Relationship:</t>
  </si>
  <si>
    <t>Type of Business:</t>
  </si>
  <si>
    <t>Included in Insurance?</t>
  </si>
  <si>
    <t># of Vehicles/Size of Company:</t>
  </si>
  <si>
    <t>FILING/GENERAL INFORMATION</t>
  </si>
  <si>
    <t>Are there any filings required?</t>
  </si>
  <si>
    <t>MC Docket #:</t>
  </si>
  <si>
    <t>If so, please list all filings required:</t>
  </si>
  <si>
    <t>Does applicant require intra-state filings?</t>
  </si>
  <si>
    <t>USDOT #:</t>
  </si>
  <si>
    <t>Does applicant allow others to operate under their authority?</t>
  </si>
  <si>
    <t>PUC #:</t>
  </si>
  <si>
    <t>Has the applicant previously allowed others to operate under their authority?</t>
  </si>
  <si>
    <t>Other state filing #</t>
  </si>
  <si>
    <t>If Y, please list states</t>
  </si>
  <si>
    <t>Please list states where applicant has operating authority:</t>
  </si>
  <si>
    <t>Please specify any Canadian Filings:</t>
  </si>
  <si>
    <t>List name and address exactly as listed on filing:</t>
  </si>
  <si>
    <t>Historical Years Available?</t>
  </si>
  <si>
    <t>Historical Insurance Coverage (Liability)</t>
  </si>
  <si>
    <t>Projected</t>
  </si>
  <si>
    <t>Current/Expiring</t>
  </si>
  <si>
    <t>1st Prior</t>
  </si>
  <si>
    <t>2nd Prior</t>
  </si>
  <si>
    <t>3rd Prior</t>
  </si>
  <si>
    <t>4th Prior</t>
  </si>
  <si>
    <t>Insurance Carrier / Broker</t>
  </si>
  <si>
    <t>Liability Limits</t>
  </si>
  <si>
    <t>15000/30000</t>
  </si>
  <si>
    <t>Liability Deductible</t>
  </si>
  <si>
    <t>Collision Deductible</t>
  </si>
  <si>
    <t>Comprehensive Deductible</t>
  </si>
  <si>
    <t>Auto Liability Premium Per Vehicle</t>
  </si>
  <si>
    <t>Physical Damage Premium Per Vehicle</t>
  </si>
  <si>
    <t>Total Premium Per Vehicle</t>
  </si>
  <si>
    <t>Number of Vehicles</t>
  </si>
  <si>
    <t>Number of Drivers</t>
  </si>
  <si>
    <t>Incurred Losses without Deductible Recoveries - Liability</t>
  </si>
  <si>
    <t>Incurred Losses with Deductible Recoveries - Liability</t>
  </si>
  <si>
    <t>Number of Claims - Liability</t>
  </si>
  <si>
    <t>Total Number of Open Claims &amp; Claims &gt;=$400 - Liability</t>
  </si>
  <si>
    <t>Loss Run Date for Each Term</t>
  </si>
  <si>
    <t>Incurred Losses without Deductible Recoveries - Physical Damage</t>
  </si>
  <si>
    <t>Incurred Losses with Deductible Recoveries - Physical Damage</t>
  </si>
  <si>
    <t>Number of Claims - Physical Damage</t>
  </si>
  <si>
    <t>Total Number of Open Claims &amp; Claims &gt;=$400 - Physical Damage</t>
  </si>
  <si>
    <t>Projections &amp; Historical Figures</t>
  </si>
  <si>
    <t>Gross Revenues</t>
  </si>
  <si>
    <t>Total Fleet Mileage</t>
  </si>
  <si>
    <t># of One-Way Trips</t>
  </si>
  <si>
    <t>Charter Bus (&gt; 29 passengers)</t>
  </si>
  <si>
    <t>Charter Mini (16-29 passengers)</t>
  </si>
  <si>
    <t>Charter Van (&lt; 16 passengers)</t>
  </si>
  <si>
    <t>School Van</t>
  </si>
  <si>
    <t>Transit Bus (&gt; 20 passengers)</t>
  </si>
  <si>
    <t xml:space="preserve">Small Transit (&lt;= 20 passengers) </t>
  </si>
  <si>
    <t>Sedan / SUV (non-stretched)</t>
  </si>
  <si>
    <t>Stretch Limo</t>
  </si>
  <si>
    <t>Stretch SUV</t>
  </si>
  <si>
    <t>Super stretch SUV (&gt;200" stretch)</t>
  </si>
  <si>
    <t>Limo Bus</t>
  </si>
  <si>
    <t>Wheelchair Vans</t>
  </si>
  <si>
    <t>Total units:</t>
  </si>
  <si>
    <t>OPERATIONS</t>
  </si>
  <si>
    <t>USE AS % OF TOTAL MILEAGE</t>
  </si>
  <si>
    <t>TOTAL:</t>
  </si>
  <si>
    <t>Charter Bus</t>
  </si>
  <si>
    <t>Fixed Route Transit</t>
  </si>
  <si>
    <t>Airport Service</t>
  </si>
  <si>
    <t>Inter-city Scheduled Service</t>
  </si>
  <si>
    <t>Demand Response</t>
  </si>
  <si>
    <t>Special Occasion Limo</t>
  </si>
  <si>
    <t>Other Scheduled Service</t>
  </si>
  <si>
    <t>Paratransit</t>
  </si>
  <si>
    <t>Corporate Sedan</t>
  </si>
  <si>
    <t>Local Sightseeing or Courtesy Bus</t>
  </si>
  <si>
    <t>Non-emergency. Medical</t>
  </si>
  <si>
    <t>Black/Silver Car</t>
  </si>
  <si>
    <t>Before and After School Routes</t>
  </si>
  <si>
    <t>Employee Shuttle</t>
  </si>
  <si>
    <t>Metered Taxi</t>
  </si>
  <si>
    <t>School Activity Transportation</t>
  </si>
  <si>
    <t>Employment Service</t>
  </si>
  <si>
    <t>Non-metered Taxi</t>
  </si>
  <si>
    <t>Non-School Charter (School type bus only)</t>
  </si>
  <si>
    <t>Van Pool</t>
  </si>
  <si>
    <t>Head Start / Day Care Transportation</t>
  </si>
  <si>
    <t>Social Service</t>
  </si>
  <si>
    <t>List airports served and % of trips to each:</t>
  </si>
  <si>
    <t>Provide a brief description of your operation:</t>
  </si>
  <si>
    <t>How many vehicles have meters/fareboxes?</t>
  </si>
  <si>
    <t>Buses &amp; Limos Section:</t>
  </si>
  <si>
    <t>Do you travel into Mexico?</t>
  </si>
  <si>
    <t>Do you service casinos?</t>
  </si>
  <si>
    <t>If Yes, what % of trips?</t>
  </si>
  <si>
    <t>Do you enter into Subcontracting/Interchange Agreements?</t>
  </si>
  <si>
    <r>
      <t xml:space="preserve">DESTINATIONS </t>
    </r>
    <r>
      <rPr>
        <sz val="10"/>
        <rFont val="Arial"/>
        <family val="2"/>
      </rPr>
      <t>(Must equal 100%)</t>
    </r>
  </si>
  <si>
    <t>City, State</t>
  </si>
  <si>
    <t>%</t>
  </si>
  <si>
    <t>What was the farthest destination traveled to in the past 12 months:</t>
  </si>
  <si>
    <t xml:space="preserve">List any destination in Mexico planned for the upcoming 12 months: </t>
  </si>
  <si>
    <t>RISK SPECIFICS</t>
  </si>
  <si>
    <t>Hours of Service:</t>
  </si>
  <si>
    <t>Days of Service:</t>
  </si>
  <si>
    <t>Weekdays Only</t>
  </si>
  <si>
    <t>How many shifts per day?</t>
  </si>
  <si>
    <t xml:space="preserve">Radius of Operation:  </t>
  </si>
  <si>
    <t>0-50 Miles:</t>
  </si>
  <si>
    <t>51-200 Miles:</t>
  </si>
  <si>
    <t>200+ Miles:</t>
  </si>
  <si>
    <t>Do drivers carry cell phones?</t>
  </si>
  <si>
    <t>Are cell phones hands free?</t>
  </si>
  <si>
    <t>App used for hailing?</t>
  </si>
  <si>
    <t>App used for navigation?</t>
  </si>
  <si>
    <t>Do any vehicles have lights and sirens?</t>
  </si>
  <si>
    <t>Is there any ridesharing?</t>
  </si>
  <si>
    <t>Door to Door</t>
  </si>
  <si>
    <t>Curb to Curb</t>
  </si>
  <si>
    <t>Type of Garaging (Enter Y to all that apply):</t>
  </si>
  <si>
    <t>Type</t>
  </si>
  <si>
    <t>Y/N</t>
  </si>
  <si>
    <t>Indoor</t>
  </si>
  <si>
    <t>Outdoor</t>
  </si>
  <si>
    <t>Fenced</t>
  </si>
  <si>
    <t>Lighted</t>
  </si>
  <si>
    <t>Security Guard</t>
  </si>
  <si>
    <t>Other</t>
  </si>
  <si>
    <t>REQUESTED COVERAGES:</t>
  </si>
  <si>
    <t>Coverages Desired:</t>
  </si>
  <si>
    <t>Liability Only</t>
  </si>
  <si>
    <t>AUTO LIABILITY COVERAGE</t>
  </si>
  <si>
    <t>Coverage Requested</t>
  </si>
  <si>
    <r>
      <rPr>
        <b/>
        <sz val="12"/>
        <rFont val="Arial"/>
        <family val="2"/>
      </rPr>
      <t xml:space="preserve">Physical Damage   Coverage                     </t>
    </r>
    <r>
      <rPr>
        <sz val="10"/>
        <rFont val="Arial"/>
        <family val="2"/>
      </rPr>
      <t>($1M Per Occurrence Limit)</t>
    </r>
  </si>
  <si>
    <t>Deductible</t>
  </si>
  <si>
    <t>Single or Split Limit</t>
  </si>
  <si>
    <t>Split</t>
  </si>
  <si>
    <t>Specified Perils</t>
  </si>
  <si>
    <t>Decline Coverage</t>
  </si>
  <si>
    <t>25000/50000</t>
  </si>
  <si>
    <t>Comprehensive</t>
  </si>
  <si>
    <t>Collision</t>
  </si>
  <si>
    <t xml:space="preserve">Uninsured Motorist </t>
  </si>
  <si>
    <t>Total Stated Values:</t>
  </si>
  <si>
    <t xml:space="preserve">Underinsured Motorist </t>
  </si>
  <si>
    <t>Personal Injury Protection (PIP)</t>
  </si>
  <si>
    <t>6) Owned Autos Subject to Compulsory UM Law</t>
  </si>
  <si>
    <r>
      <rPr>
        <sz val="18"/>
        <rFont val="Arial"/>
        <family val="2"/>
      </rPr>
      <t xml:space="preserve">* </t>
    </r>
    <r>
      <rPr>
        <sz val="10"/>
        <rFont val="Arial"/>
        <family val="2"/>
      </rPr>
      <t>Mileage/Gross Receipts, SIR's, and captives also may be available dependent on risk characteristics.</t>
    </r>
  </si>
  <si>
    <t>What percentage of the fleet are wheelchair equipped?</t>
  </si>
  <si>
    <t>11-20%</t>
  </si>
  <si>
    <t>Do you hire from others for your use?</t>
  </si>
  <si>
    <t>If Y, Annual Cost of Hire:</t>
  </si>
  <si>
    <t>Do you hire from others with a driver?</t>
  </si>
  <si>
    <t>Do you lease to others for their use?</t>
  </si>
  <si>
    <t>If Y, Annual Income Derived:</t>
  </si>
  <si>
    <t>Do you lease to others without a driver?</t>
  </si>
  <si>
    <t>Is there assumed liability by contract/agreement?</t>
  </si>
  <si>
    <t>Do drivers take vehicles home?</t>
  </si>
  <si>
    <t>Are the vehicles solely owned by the applicant?</t>
  </si>
  <si>
    <r>
      <t xml:space="preserve">DRIVER INFORMATION  </t>
    </r>
    <r>
      <rPr>
        <sz val="10"/>
        <rFont val="Arial"/>
        <family val="2"/>
      </rPr>
      <t>(</t>
    </r>
    <r>
      <rPr>
        <i/>
        <sz val="10"/>
        <rFont val="Arial"/>
        <family val="2"/>
      </rPr>
      <t>Please attach Driver Schedule with Dates of Birth, and Dates of Hire)</t>
    </r>
  </si>
  <si>
    <t>Total # of Drivers:</t>
  </si>
  <si>
    <t># over 70 y.o.:</t>
  </si>
  <si>
    <t># under 25 y.o.:</t>
  </si>
  <si>
    <t>In the past year, how many drivers were:</t>
  </si>
  <si>
    <t>Hired:</t>
  </si>
  <si>
    <t>Terminated:</t>
  </si>
  <si>
    <t>How often are current MVRs pulled?</t>
  </si>
  <si>
    <t>Not Pulled</t>
  </si>
  <si>
    <t>Are Drivers considered independent contractors?</t>
  </si>
  <si>
    <t>Answer Y or No to the following questions:</t>
  </si>
  <si>
    <t>Driving</t>
  </si>
  <si>
    <t>On Duty</t>
  </si>
  <si>
    <t>Drivers Maximum Hours Per Day Driving:</t>
  </si>
  <si>
    <t>Are any family members under 21 primary drivers of a company auto?</t>
  </si>
  <si>
    <t>Drivers Maximum Hours Per Week:</t>
  </si>
  <si>
    <t>Are all drivers properly licensed and DOT Compliant?</t>
  </si>
  <si>
    <t>Driver Hiring Criteria</t>
  </si>
  <si>
    <t>Do all drivers have at least 5 years U.S. driving experience?</t>
  </si>
  <si>
    <t>Is disciplinary plan documented for all drivers?</t>
  </si>
  <si>
    <t>Written Application:</t>
  </si>
  <si>
    <t>Is there a driver incentive program?</t>
  </si>
  <si>
    <t>Road Test:</t>
  </si>
  <si>
    <t xml:space="preserve">If you are a school bus company, answer the following:  </t>
  </si>
  <si>
    <t>Written Test:</t>
  </si>
  <si>
    <t>Are guest passengers (family members, friends of driver, etc.) authorized passengers on your buses?</t>
  </si>
  <si>
    <t>Full Medical:</t>
  </si>
  <si>
    <t>Do you allow coaches or teachers to drive your vehicles?</t>
  </si>
  <si>
    <t>Drug Testing:</t>
  </si>
  <si>
    <t>Current MVR:</t>
  </si>
  <si>
    <t>If Y, what is the reason?</t>
  </si>
  <si>
    <t>Reference Checks:</t>
  </si>
  <si>
    <t>Criminal Background Check:</t>
  </si>
  <si>
    <t>Do you have the following:</t>
  </si>
  <si>
    <t xml:space="preserve"> Written maintenance program?</t>
  </si>
  <si>
    <t>Written safety program</t>
  </si>
  <si>
    <t>Written driver-training program?</t>
  </si>
  <si>
    <t>Written accident reporting procedures</t>
  </si>
  <si>
    <t>Safety Device Category</t>
  </si>
  <si>
    <t>Currently In Place?</t>
  </si>
  <si>
    <t>If Yes, # of years in place?</t>
  </si>
  <si>
    <t>% of Fleet</t>
  </si>
  <si>
    <t>If no, will you be installing during the upcoming policy period?</t>
  </si>
  <si>
    <t>Cameras</t>
  </si>
  <si>
    <t>Accident Event Recorders (AER's)</t>
  </si>
  <si>
    <t>Location Tracking Device</t>
  </si>
  <si>
    <t>Mileage Tracking Device</t>
  </si>
  <si>
    <t>Brake Warning System</t>
  </si>
  <si>
    <t>Distracted Driving Warning System</t>
  </si>
  <si>
    <t>Speed Warning System</t>
  </si>
  <si>
    <t>Any Active Accident Avoidance Technology</t>
  </si>
  <si>
    <t>Any Passive Accident Avoidance Technology</t>
  </si>
  <si>
    <t>Reflective Tape</t>
  </si>
  <si>
    <t>Step Stools</t>
  </si>
  <si>
    <t>1-800-HOWSMYDRIVING Program</t>
  </si>
  <si>
    <t>Company's SAFER rating:</t>
  </si>
  <si>
    <t>Your vehicle maintenance program includes:</t>
  </si>
  <si>
    <t>A service record for each vehicle?</t>
  </si>
  <si>
    <t>Controlled and frequent inspections?</t>
  </si>
  <si>
    <t>Vehicle daily condition reports?</t>
  </si>
  <si>
    <t>Enter Y or N to the following questions:</t>
  </si>
  <si>
    <t>Other Maintenance Questions:</t>
  </si>
  <si>
    <r>
      <t>Is your maintenance program managed by your company?</t>
    </r>
    <r>
      <rPr>
        <sz val="18"/>
        <rFont val="Arial"/>
        <family val="2"/>
      </rPr>
      <t>*</t>
    </r>
  </si>
  <si>
    <t>How many certified mechanics do you employ?</t>
  </si>
  <si>
    <r>
      <t>Do you provide complete maintenance on all vehicles?</t>
    </r>
    <r>
      <rPr>
        <sz val="18"/>
        <rFont val="Arial"/>
        <family val="2"/>
      </rPr>
      <t>*</t>
    </r>
  </si>
  <si>
    <t>How often do you hold safety meetings?</t>
  </si>
  <si>
    <t>Weekly</t>
  </si>
  <si>
    <r>
      <t>Are Driver Files available for review?</t>
    </r>
    <r>
      <rPr>
        <sz val="18"/>
        <rFont val="Arial"/>
        <family val="2"/>
      </rPr>
      <t>*</t>
    </r>
  </si>
  <si>
    <t>Who is in charge of claims?</t>
  </si>
  <si>
    <r>
      <t>Are Accident Files available for review?</t>
    </r>
    <r>
      <rPr>
        <sz val="18"/>
        <rFont val="Arial"/>
        <family val="2"/>
      </rPr>
      <t>*</t>
    </r>
  </si>
  <si>
    <t>Does road supervision include Recording Devices?</t>
  </si>
  <si>
    <t>Does road supervision include Radio Dispatch?</t>
  </si>
  <si>
    <r>
      <rPr>
        <b/>
        <sz val="18"/>
        <rFont val="Arial"/>
        <family val="2"/>
      </rPr>
      <t>*</t>
    </r>
    <r>
      <rPr>
        <b/>
        <sz val="10"/>
        <rFont val="Arial"/>
        <family val="2"/>
      </rPr>
      <t xml:space="preserve"> Please explain "No" answers above:</t>
    </r>
  </si>
  <si>
    <t>Driver Training Section (Enter Y to all that apply)</t>
  </si>
  <si>
    <t>Company rules and policies</t>
  </si>
  <si>
    <t>Vehicle Inspection Procedures</t>
  </si>
  <si>
    <t>Equipment Familiarization</t>
  </si>
  <si>
    <t>Route familiarization</t>
  </si>
  <si>
    <t>Emergency procedures</t>
  </si>
  <si>
    <t>Accident reporting procedures</t>
  </si>
  <si>
    <t>Observation Period</t>
  </si>
  <si>
    <t>Certification Process</t>
  </si>
  <si>
    <t>Wheelchair Loading</t>
  </si>
  <si>
    <t>Wheelchair Securing</t>
  </si>
  <si>
    <t>Is re-training held?</t>
  </si>
  <si>
    <t>Describe company safety programs:</t>
  </si>
  <si>
    <t>Describe any safety award/incentive programs:</t>
  </si>
  <si>
    <t>Describe how and when drivers are evaluated:</t>
  </si>
  <si>
    <t>Describe Driver Disciplinary plan:</t>
  </si>
  <si>
    <t>How is FMCSR compliance monitored:</t>
  </si>
  <si>
    <t>Does the insured subcontract for others?</t>
  </si>
  <si>
    <t>If yes, provide copies of contracts.</t>
  </si>
  <si>
    <t>Does the company enter into any written or verbal agreements to provide service?</t>
  </si>
  <si>
    <t>Certification Section (Enter Y to all that apply, skip if not applicable)</t>
  </si>
  <si>
    <t>All drivers are both knowledgeable and certified in operating an NEMT</t>
  </si>
  <si>
    <t>All drivers have received training and are certified in the loading and unloading of wheelchairs</t>
  </si>
  <si>
    <t>Knowledgeable and certified in the proper securing wheelchair lockdown on 4 point lockdowns including not loading a passenger unless all four points are properly working.</t>
  </si>
  <si>
    <t>Trained in the use of and proper procedures of wheelchair ramps or lifts (if applicable)</t>
  </si>
  <si>
    <t>Confirm with passengers understanding that the seatbelt must always be fastened and physical impairments and pre-existing injuries must be taken into account when assisting passengers</t>
  </si>
  <si>
    <t>Complete familiarity with the required procedures in the event of an emergency with a passenger and/or accident regardless of degree of seriousness to either notify Dispatch or call 911</t>
  </si>
  <si>
    <t>Additional Info (Enter Y to all that apply, skip if not applicable)</t>
  </si>
  <si>
    <t>Are passengers in tri-wheelers required to transfer to a wheelchair or a permanent seat after loading?</t>
  </si>
  <si>
    <t>Are wheelchair or stretcher passengers ever permitted to ride in the vehicle in other than the designated securement locations?</t>
  </si>
  <si>
    <t xml:space="preserve">Does an attendant accompany stretcher clients? </t>
  </si>
  <si>
    <t>Will insured be transporting patients to the hospital/clinic/medical appointments?</t>
  </si>
  <si>
    <t>Will insured be transporting elderly passengers to the senior center?</t>
  </si>
  <si>
    <t>Will insured be transporting children under the age of 21?</t>
  </si>
  <si>
    <t>MANDATORY UNDERWRITING QUESTIONS</t>
  </si>
  <si>
    <t>During the past 4 years, has your insurance ever been obtained through an Assigned Risk Plan?</t>
  </si>
  <si>
    <t>If Y, Please Explain:</t>
  </si>
  <si>
    <t>Do you provide Worker's Compensation for all employees?</t>
  </si>
  <si>
    <t>If Y, provide Worker's Comp.carrier:</t>
  </si>
  <si>
    <t>If No, Provide Explanation:</t>
  </si>
  <si>
    <t>Have you ever filed for or contemplated filing for bankruptcy or had bankruptcy proceedings initiated against you by another party?</t>
  </si>
  <si>
    <t>Has your operating authority ever been suspended or revoked or have you received notice of intent to suspend?</t>
  </si>
  <si>
    <t>Is all equipment operated under the applicant's authority scheduled on the applicant's driver and vehicle schedule?</t>
  </si>
  <si>
    <t>If No, Please Explain:</t>
  </si>
  <si>
    <t>Applicant and Producer:  Please sign and date the Applicant's Statement Below.</t>
  </si>
  <si>
    <t>APPLICANT'S STATEMENT</t>
  </si>
  <si>
    <r>
      <rPr>
        <sz val="12"/>
        <rFont val="Arial"/>
        <family val="2"/>
      </rPr>
      <t>I hereby declare that the statements made in this application and the contents of the other documents supplied are true and correct and agree that any policy of insurance that may be issued now or in the future will be based on warranties and representations contained therein.</t>
    </r>
    <r>
      <rPr>
        <sz val="10"/>
        <rFont val="Arial"/>
        <family val="2"/>
      </rPr>
      <t xml:space="preserve">  </t>
    </r>
  </si>
  <si>
    <t xml:space="preserve">APPLICANT </t>
  </si>
  <si>
    <t>PRODUCER</t>
  </si>
  <si>
    <t xml:space="preserve">Signature of Officer/Manager of Named Insured                              </t>
  </si>
  <si>
    <t>Date</t>
  </si>
  <si>
    <t xml:space="preserve">Signature                                                                                                                     </t>
  </si>
  <si>
    <t xml:space="preserve">Print Full Name                                                                                </t>
  </si>
  <si>
    <t>Title</t>
  </si>
  <si>
    <t xml:space="preserve">Print Full Name                                                                                                                          </t>
  </si>
  <si>
    <t>Agency</t>
  </si>
  <si>
    <r>
      <t>IN ADDITION TO THIS APPLICATION, PLEASE SUBMIT THE FOLLOWING</t>
    </r>
    <r>
      <rPr>
        <b/>
        <sz val="14"/>
        <rFont val="Arial"/>
        <family val="2"/>
      </rPr>
      <t>:</t>
    </r>
  </si>
  <si>
    <t xml:space="preserve">               * Current DOT medical for all drivers age 70 or older and any driver with less than 2 year medical clearance.</t>
  </si>
  <si>
    <t xml:space="preserve">               * Current Vehicle list, including year, make, complete VIN, stretch length (limo), seating capacity, vehicle type, stated amount and deductible requested.</t>
  </si>
  <si>
    <t xml:space="preserve">               * Fuel tax reports (IFTA's) for the last eight quarters for all charter operations.</t>
  </si>
  <si>
    <t xml:space="preserve">               * Current financials: Income statement and balance sheet </t>
  </si>
  <si>
    <t xml:space="preserve">               * Copy of cancellation or non-renewal notice issued in the current or 4 prior years.</t>
  </si>
  <si>
    <t xml:space="preserve">               * Applicable written agreements for all hired, leased or assumed liability arrangements.</t>
  </si>
  <si>
    <t xml:space="preserve">               * Provide explanation as to independent contractor status of drivers, if applicable.</t>
  </si>
  <si>
    <t>Veh #</t>
  </si>
  <si>
    <t>Year</t>
  </si>
  <si>
    <t>Make</t>
  </si>
  <si>
    <t>Model</t>
  </si>
  <si>
    <t>VIN</t>
  </si>
  <si>
    <t>Cost new</t>
  </si>
  <si>
    <t>Stated Amount</t>
  </si>
  <si>
    <t>PD Deductible</t>
  </si>
  <si>
    <t>Seating capacity</t>
  </si>
  <si>
    <t>Vehicle Type</t>
  </si>
  <si>
    <t>Radius</t>
  </si>
  <si>
    <t>Days driven per week</t>
  </si>
  <si>
    <t>Date purchased</t>
  </si>
  <si>
    <t>Leased</t>
  </si>
  <si>
    <t>Stretch Length (limo)</t>
  </si>
  <si>
    <t>Wheelchair Lift</t>
  </si>
  <si>
    <t>Stretchers</t>
  </si>
  <si>
    <t>Lights and Sirens</t>
  </si>
  <si>
    <t>List Safety Devices</t>
  </si>
  <si>
    <t>Driver Name</t>
  </si>
  <si>
    <t>Date of Birth</t>
  </si>
  <si>
    <t>Sex</t>
  </si>
  <si>
    <t>Marital Status</t>
  </si>
  <si>
    <t>Drivers License Number</t>
  </si>
  <si>
    <t>DriverLicenseExpireDate</t>
  </si>
  <si>
    <t>Year Hire Date</t>
  </si>
  <si>
    <t>Years Experience</t>
  </si>
  <si>
    <t>Years Licensed</t>
  </si>
  <si>
    <t>MVR Provided</t>
  </si>
  <si>
    <t># of Minor Violations - Last 5 Years</t>
  </si>
  <si>
    <t># of Major Violations (include Speed 25+) - Last 5 Years</t>
  </si>
  <si>
    <t># of Speeding (below 25) - Last 5 Years</t>
  </si>
  <si>
    <t># of DUI - Last 5 Years</t>
  </si>
  <si>
    <t># of Not At Fault - Last 5 Years</t>
  </si>
  <si>
    <t># of "Other" Violations - Last 5 Years</t>
  </si>
  <si>
    <t># of Delaying/Obstructing - Last 5 Years</t>
  </si>
  <si>
    <t># of At-Fault Accidents - Last 5 Years</t>
  </si>
  <si>
    <t>Small and Large Fleet Dropdowns</t>
  </si>
  <si>
    <t>Topic</t>
  </si>
  <si>
    <t>Small Fleet Checkboxes</t>
  </si>
  <si>
    <t>Large Fleet Checkboxes</t>
  </si>
  <si>
    <t>Large Fleet Only Dropdowns</t>
  </si>
  <si>
    <t>Sub Category</t>
  </si>
  <si>
    <t>Corporation</t>
  </si>
  <si>
    <t>BI Limits</t>
  </si>
  <si>
    <t>PD Limits</t>
  </si>
  <si>
    <t>UM Limits</t>
  </si>
  <si>
    <t>Liab Deductible</t>
  </si>
  <si>
    <t>Coll Deductible</t>
  </si>
  <si>
    <t>Subsidiary</t>
  </si>
  <si>
    <t>Single</t>
  </si>
  <si>
    <t>Hourly</t>
  </si>
  <si>
    <t>Union</t>
  </si>
  <si>
    <t>Quarterly</t>
  </si>
  <si>
    <t>Physical Damage Only</t>
  </si>
  <si>
    <t>Business Type</t>
  </si>
  <si>
    <t>Excess Physical Damage</t>
  </si>
  <si>
    <t>$1,000</t>
  </si>
  <si>
    <t>Individual</t>
  </si>
  <si>
    <t>Affiliate</t>
  </si>
  <si>
    <t>Weekends Only</t>
  </si>
  <si>
    <t>1) Any Auto</t>
  </si>
  <si>
    <t>1-10%</t>
  </si>
  <si>
    <t>By Mileage</t>
  </si>
  <si>
    <t>Non-Union</t>
  </si>
  <si>
    <t>Semi-Annually</t>
  </si>
  <si>
    <t>Bi-Weekly</t>
  </si>
  <si>
    <t>Liability + Physical Damage</t>
  </si>
  <si>
    <t xml:space="preserve"> </t>
  </si>
  <si>
    <t>Value?</t>
  </si>
  <si>
    <t>$2,500</t>
  </si>
  <si>
    <t>Gov. Entity</t>
  </si>
  <si>
    <t>Weekdays and Weekends</t>
  </si>
  <si>
    <t>2) All Owned Autos</t>
  </si>
  <si>
    <t>Trip</t>
  </si>
  <si>
    <t>Annually</t>
  </si>
  <si>
    <t>Monthly</t>
  </si>
  <si>
    <t>Interested?</t>
  </si>
  <si>
    <t>$5,000</t>
  </si>
  <si>
    <t>Joint Venture</t>
  </si>
  <si>
    <t>30000/60000</t>
  </si>
  <si>
    <t>3) Owned Private Passenger Autos</t>
  </si>
  <si>
    <t>21-30%</t>
  </si>
  <si>
    <t>Bi-Annually</t>
  </si>
  <si>
    <t>Lighted?</t>
  </si>
  <si>
    <t>$10,000</t>
  </si>
  <si>
    <t>LLC</t>
  </si>
  <si>
    <t>4) Owned Autos Other Than Private Passenger</t>
  </si>
  <si>
    <t>31-40%</t>
  </si>
  <si>
    <t>Proprietorship</t>
  </si>
  <si>
    <t>Fuel Tanks?</t>
  </si>
  <si>
    <t>$25,000</t>
  </si>
  <si>
    <t>5) All Owned Autos Which Require No-Fault Coverage</t>
  </si>
  <si>
    <t>41-50%</t>
  </si>
  <si>
    <t>Outside?</t>
  </si>
  <si>
    <t>$50,000</t>
  </si>
  <si>
    <t>50000/100000</t>
  </si>
  <si>
    <t>51-60%</t>
  </si>
  <si>
    <t>Does Not Occur</t>
  </si>
  <si>
    <t>Inside?</t>
  </si>
  <si>
    <t>$100,000</t>
  </si>
  <si>
    <t>50000/150000</t>
  </si>
  <si>
    <t>7) Autos Specified on  Schedule</t>
  </si>
  <si>
    <t>61-70%</t>
  </si>
  <si>
    <t>Flood?</t>
  </si>
  <si>
    <t>$250,000</t>
  </si>
  <si>
    <t>71-80%</t>
  </si>
  <si>
    <t>States</t>
  </si>
  <si>
    <t>Guard?</t>
  </si>
  <si>
    <t>81-90%</t>
  </si>
  <si>
    <t>Service Performed</t>
  </si>
  <si>
    <t>91-100%</t>
  </si>
  <si>
    <t>Yes</t>
  </si>
  <si>
    <t>100000/300000</t>
  </si>
  <si>
    <t>No</t>
  </si>
  <si>
    <t>AL</t>
  </si>
  <si>
    <t>125000/300000</t>
  </si>
  <si>
    <t>AK</t>
  </si>
  <si>
    <t>AZ</t>
  </si>
  <si>
    <t>AR</t>
  </si>
  <si>
    <t>250000/500000</t>
  </si>
  <si>
    <t>CA</t>
  </si>
  <si>
    <t>Garage Coverages</t>
  </si>
  <si>
    <t>CO</t>
  </si>
  <si>
    <t>CT</t>
  </si>
  <si>
    <t>DE</t>
  </si>
  <si>
    <t>FL</t>
  </si>
  <si>
    <t>GA</t>
  </si>
  <si>
    <t>HI</t>
  </si>
  <si>
    <t>ID</t>
  </si>
  <si>
    <t>Garagekeepers Legal Liability</t>
  </si>
  <si>
    <t>IL</t>
  </si>
  <si>
    <t>IN</t>
  </si>
  <si>
    <t>IA</t>
  </si>
  <si>
    <t>Specified Perils/Comp. :</t>
  </si>
  <si>
    <t>KS</t>
  </si>
  <si>
    <t>Collision:</t>
  </si>
  <si>
    <t>KY</t>
  </si>
  <si>
    <t>$250</t>
  </si>
  <si>
    <t>Per Occurrence</t>
  </si>
  <si>
    <t>LA</t>
  </si>
  <si>
    <t>$500</t>
  </si>
  <si>
    <t>ME</t>
  </si>
  <si>
    <t>MD</t>
  </si>
  <si>
    <t>MA</t>
  </si>
  <si>
    <t>MI</t>
  </si>
  <si>
    <t>MN</t>
  </si>
  <si>
    <t>$20,000</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</si>
  <si>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</si>
  <si>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</si>
  <si>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</si>
  <si>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</si>
  <si>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</si>
  <si>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</si>
  <si>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</si>
  <si>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</si>
  <si>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</si>
  <si>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</si>
  <si>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</si>
  <si>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</si>
  <si>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</si>
  <si>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</si>
  <si>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</si>
  <si>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</si>
  <si>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</si>
  <si>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</si>
  <si>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</si>
  <si>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</si>
  <si>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</si>
  <si>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</si>
  <si>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</si>
  <si>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</si>
  <si>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</si>
  <si>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</si>
  <si>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</si>
  <si>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Subsidiary/Affiliate</t>
  </si>
  <si>
    <t xml:space="preserve">Subsidiary  </t>
  </si>
  <si>
    <t>UM/UIM</t>
  </si>
  <si>
    <t>Nonowned Liability</t>
  </si>
  <si>
    <t>Phys. Dam Deductibles</t>
  </si>
  <si>
    <t>Location Classes</t>
  </si>
  <si>
    <t>Location 1</t>
  </si>
  <si>
    <t>Location 2</t>
  </si>
  <si>
    <t>Location 3</t>
  </si>
  <si>
    <t>Location 4</t>
  </si>
  <si>
    <t>Office</t>
  </si>
  <si>
    <t>Parking Lot</t>
  </si>
  <si>
    <t>Indoor Parking Facility</t>
  </si>
  <si>
    <t>Limits Requested Questions</t>
  </si>
  <si>
    <t xml:space="preserve">Products Comp. Operations </t>
  </si>
  <si>
    <t>Parking owned?</t>
  </si>
  <si>
    <t>Fee Charged?</t>
  </si>
  <si>
    <t>Owned or Rented?</t>
  </si>
  <si>
    <t>Owned</t>
  </si>
  <si>
    <t>Rented</t>
  </si>
  <si>
    <t>Fenced?</t>
  </si>
  <si>
    <t>Night Watch?</t>
  </si>
  <si>
    <t>General Liability Questions</t>
  </si>
  <si>
    <t>Residence?</t>
  </si>
  <si>
    <t>Storage?</t>
  </si>
  <si>
    <t>Wheelchair</t>
  </si>
  <si>
    <t>Wheelchair equipped?</t>
  </si>
  <si>
    <t>1%-9%</t>
  </si>
  <si>
    <t>Days of Operation</t>
  </si>
  <si>
    <t>Type Transported</t>
  </si>
  <si>
    <t>Other Disabled</t>
  </si>
  <si>
    <t>Professional Athletes</t>
  </si>
  <si>
    <t>Entertainment Groups</t>
  </si>
  <si>
    <t>On Call/Dispatch</t>
  </si>
  <si>
    <t>Scheduled</t>
  </si>
  <si>
    <t>0-50</t>
  </si>
  <si>
    <t>51-200</t>
  </si>
  <si>
    <t>200+</t>
  </si>
  <si>
    <t>Driver Questions/Filing Information</t>
  </si>
  <si>
    <t>Hire from others for your use?</t>
  </si>
  <si>
    <t>Hire from others with driver?</t>
  </si>
  <si>
    <t>Lease to others for their use?</t>
  </si>
  <si>
    <t>Lease to others without a driver?</t>
  </si>
  <si>
    <t>Assumed liability?</t>
  </si>
  <si>
    <t>5 Years experience?</t>
  </si>
  <si>
    <t>Agree to report drivers?</t>
  </si>
  <si>
    <t>Family members under 21?</t>
  </si>
  <si>
    <t>Drivers licensed?</t>
  </si>
  <si>
    <t>Similar vehicle?</t>
  </si>
  <si>
    <t>No (Explain)</t>
  </si>
  <si>
    <t>Independent contractors?</t>
  </si>
  <si>
    <t>Guest passengers?</t>
  </si>
  <si>
    <t>Coaches or teachers?</t>
  </si>
  <si>
    <t>Written maintenance program?</t>
  </si>
  <si>
    <t>Application?</t>
  </si>
  <si>
    <t>Medical?</t>
  </si>
  <si>
    <t>Driver-training program?</t>
  </si>
  <si>
    <t>Road test?</t>
  </si>
  <si>
    <t>Drug testing?</t>
  </si>
  <si>
    <t>Safety program?</t>
  </si>
  <si>
    <t>Written test?</t>
  </si>
  <si>
    <t>Current MVR?</t>
  </si>
  <si>
    <t>Accident reporting?</t>
  </si>
  <si>
    <t>Reference checks</t>
  </si>
  <si>
    <t>Service record?</t>
  </si>
  <si>
    <t>Disciplinary plan?</t>
  </si>
  <si>
    <t>Inspections?</t>
  </si>
  <si>
    <t>Condition reports?</t>
  </si>
  <si>
    <t>Recording devices</t>
  </si>
  <si>
    <t>Radio dispatch</t>
  </si>
  <si>
    <t>Maintenance managed?</t>
  </si>
  <si>
    <t>Maintenance on all?</t>
  </si>
  <si>
    <t>Driver files?</t>
  </si>
  <si>
    <t>Accident files?</t>
  </si>
  <si>
    <t>Claims reported to NIIC?</t>
  </si>
  <si>
    <t>Safety meetings?</t>
  </si>
  <si>
    <t>FHWA Filing?</t>
  </si>
  <si>
    <t>Intra-state Filing?</t>
  </si>
  <si>
    <t>Allow others to operate?</t>
  </si>
  <si>
    <t>Historical Coverages</t>
  </si>
  <si>
    <t>Assigned Risk Plan?</t>
  </si>
  <si>
    <t>Notice given?</t>
  </si>
  <si>
    <t>Workers' Compensation?</t>
  </si>
  <si>
    <t>Bankruptcy?</t>
  </si>
  <si>
    <t>Operating authority problems?</t>
  </si>
  <si>
    <t>Yes (Explain)</t>
  </si>
  <si>
    <t>Equipment scheduled?</t>
  </si>
  <si>
    <t xml:space="preserve">Yes </t>
  </si>
  <si>
    <t>Hired, Leased, or Assumed Liability</t>
  </si>
  <si>
    <t>(Small Fleet)</t>
  </si>
  <si>
    <t>(Large Fleet)</t>
  </si>
  <si>
    <t>Supplemental Wheelchair Application</t>
  </si>
  <si>
    <t>Broker</t>
  </si>
  <si>
    <t>AgentName</t>
  </si>
  <si>
    <t>AgentEmail</t>
  </si>
  <si>
    <t>AgentPhone</t>
  </si>
  <si>
    <t>Advantage One Insurance</t>
  </si>
  <si>
    <t>Deborah Metzger</t>
  </si>
  <si>
    <t>dmetzger@sccoast.net</t>
  </si>
  <si>
    <t>(843) 445 - 6888</t>
  </si>
  <si>
    <t>American Business Insurance Services</t>
  </si>
  <si>
    <t>Marie Gabriel</t>
  </si>
  <si>
    <t>mgabriel@sccoast.net</t>
  </si>
  <si>
    <t>American Business Insurance Services - B</t>
  </si>
  <si>
    <t>Andrew York</t>
  </si>
  <si>
    <t>ayork@abiweb.com</t>
  </si>
  <si>
    <t>(800) 980 - 1950</t>
  </si>
  <si>
    <t>American Specialty Insurance Group, Inc</t>
  </si>
  <si>
    <t>Blake Spahn</t>
  </si>
  <si>
    <t>blake@abiweb.com</t>
  </si>
  <si>
    <t>Atlantis Business Insurance Solutions</t>
  </si>
  <si>
    <t>Dave Haley</t>
  </si>
  <si>
    <t>Dave@abiweb.com</t>
  </si>
  <si>
    <t>Clay Thomas &amp; Associates LLC</t>
  </si>
  <si>
    <t>Debbie Burdick</t>
  </si>
  <si>
    <t>debbie@abiweb.com</t>
  </si>
  <si>
    <t>Creative Insurance Services LLC</t>
  </si>
  <si>
    <t>George Wilk</t>
  </si>
  <si>
    <t>george@abiweb.com</t>
  </si>
  <si>
    <t>Distinctive Insurance</t>
  </si>
  <si>
    <t>Jeff Serber</t>
  </si>
  <si>
    <t>jeff@abiweb.com</t>
  </si>
  <si>
    <t>(800) 980-1950</t>
  </si>
  <si>
    <t>Fairmont Insurance Advantage</t>
  </si>
  <si>
    <t>Jessica Hewitt</t>
  </si>
  <si>
    <t>jessica@abiweb.com</t>
  </si>
  <si>
    <t>Financial Associates Inc. DBA Research Underwriters</t>
  </si>
  <si>
    <t>Katherine Haley</t>
  </si>
  <si>
    <t>khaley@abiweb.com</t>
  </si>
  <si>
    <t>Geny Insurance Group, LLC</t>
  </si>
  <si>
    <t>Laura Loftus</t>
  </si>
  <si>
    <t>laura@abiweb.com</t>
  </si>
  <si>
    <t>Hemly Insurance Group</t>
  </si>
  <si>
    <t>Michelle York</t>
  </si>
  <si>
    <t>MYork@abiweb.com</t>
  </si>
  <si>
    <t>HILB Group of New Jersey</t>
  </si>
  <si>
    <t>Nichole Haley</t>
  </si>
  <si>
    <t>Nhaley@abiweb.com</t>
  </si>
  <si>
    <t>Hilb Group of Virginia</t>
  </si>
  <si>
    <t>Taylor Naud</t>
  </si>
  <si>
    <t>taylor@abiweb.com</t>
  </si>
  <si>
    <t>Hospitality Insurance Agency LLC</t>
  </si>
  <si>
    <t>Thomas Rosario</t>
  </si>
  <si>
    <t>thomas@abiweb.com</t>
  </si>
  <si>
    <t>Imobisa Insurance</t>
  </si>
  <si>
    <t>Hugh Tamoney</t>
  </si>
  <si>
    <t>Hugh@asiginsurance.com</t>
  </si>
  <si>
    <t>(561) 683 - 1220</t>
  </si>
  <si>
    <t>Insurance Office of America</t>
  </si>
  <si>
    <t>Patrick Grubb</t>
  </si>
  <si>
    <t>patrick@asiginsurance.com</t>
  </si>
  <si>
    <t>Jenkins Financial Insurance Agency</t>
  </si>
  <si>
    <t>Shelagh Wahl-Grubb</t>
  </si>
  <si>
    <t>SHELAGH@ASIGINSURANCE.COM</t>
  </si>
  <si>
    <t>JIA Insurance Agency LLC</t>
  </si>
  <si>
    <t>Thomas Clancy</t>
  </si>
  <si>
    <t>Tclancy@asiginsurance.com</t>
  </si>
  <si>
    <t>JRS Insurance Group</t>
  </si>
  <si>
    <t>Felix German</t>
  </si>
  <si>
    <t>info@bizinsuranceadvisors.com</t>
  </si>
  <si>
    <t>(415) 335 - 0900</t>
  </si>
  <si>
    <t>Kettering Rose Insurance Services</t>
  </si>
  <si>
    <t>Dan McCabe</t>
  </si>
  <si>
    <t>Dmccabe@claythomasassoc.com</t>
  </si>
  <si>
    <t>(201) 252 - 8610</t>
  </si>
  <si>
    <t>Kiely Hines &amp; Assoc. Ins.</t>
  </si>
  <si>
    <t>Heather Bechelli</t>
  </si>
  <si>
    <t>hbechelli@emailcta.com</t>
  </si>
  <si>
    <t>Leeds &amp; York</t>
  </si>
  <si>
    <t>Renee Filippelli</t>
  </si>
  <si>
    <t>rfilippelli@claythomasassoc.com</t>
  </si>
  <si>
    <t>LuxQuote LLC</t>
  </si>
  <si>
    <t>Valerie Fiorello</t>
  </si>
  <si>
    <t>vfiorello@claythomasassoc.com</t>
  </si>
  <si>
    <t>Maximum Independent Brokerage, LLC</t>
  </si>
  <si>
    <t>Peter Zaki</t>
  </si>
  <si>
    <t>Cornell Insurance Services LLC</t>
  </si>
  <si>
    <t>Pzaki@cornellins.com</t>
  </si>
  <si>
    <t>(732) 860 - 7014</t>
  </si>
  <si>
    <t>MORENO &amp; GRAHAM INSURANCE SERVICES, INC.</t>
  </si>
  <si>
    <t>Carla Carter</t>
  </si>
  <si>
    <t>ccarter@cornellins.com</t>
  </si>
  <si>
    <t>(732) 902-2420 x103</t>
  </si>
  <si>
    <t>New America Insurance</t>
  </si>
  <si>
    <t>David B. Staggard</t>
  </si>
  <si>
    <t>dstaggard@cornellins.com</t>
  </si>
  <si>
    <t>(732) 902-2420</t>
  </si>
  <si>
    <t>Northern Star Management</t>
  </si>
  <si>
    <t>Gena Litinsky</t>
  </si>
  <si>
    <t>gena@creativeinsllc.com</t>
  </si>
  <si>
    <t>(818) 591 - 8017</t>
  </si>
  <si>
    <t>Onyx Transportation Services</t>
  </si>
  <si>
    <t>Michael Stewart</t>
  </si>
  <si>
    <t>mstewart@distinctive.net</t>
  </si>
  <si>
    <t>(702) 874 - 3099</t>
  </si>
  <si>
    <t>P.A. Post Agency LLC</t>
  </si>
  <si>
    <t>Rus Rakoszynski</t>
  </si>
  <si>
    <t>rusr@fairmontins.com</t>
  </si>
  <si>
    <t>(718) 906 - 0462</t>
  </si>
  <si>
    <t>Partners Specialty Group, LLC</t>
  </si>
  <si>
    <t>Andrew Gross</t>
  </si>
  <si>
    <t>agross@fairmontins.com</t>
  </si>
  <si>
    <t>(718) 906-0458</t>
  </si>
  <si>
    <t>Patrick Neal Insurance Services - Youtube Insurance Services</t>
  </si>
  <si>
    <t>Susan Malka</t>
  </si>
  <si>
    <t>smalka@fairmontins.com</t>
  </si>
  <si>
    <t>(718) 906-0420</t>
  </si>
  <si>
    <t>Powers-Leavitt</t>
  </si>
  <si>
    <t>Beverly Monroe</t>
  </si>
  <si>
    <t>bmonroe@researchunderwriters.com</t>
  </si>
  <si>
    <t>(800) 727 - 3732</t>
  </si>
  <si>
    <t>Preferred Risk Agency</t>
  </si>
  <si>
    <t>Erin Reitler</t>
  </si>
  <si>
    <t>ereitler@researchunderwriters.com</t>
  </si>
  <si>
    <t>(412) 351 - 5800</t>
  </si>
  <si>
    <t>Preferred Transportation Insurance Agency</t>
  </si>
  <si>
    <t>Patti Diskin</t>
  </si>
  <si>
    <t>pdiskin@researchunderwriters.com</t>
  </si>
  <si>
    <t>Professional Insurance Strategies</t>
  </si>
  <si>
    <t>Sue Chaffo</t>
  </si>
  <si>
    <t>schaffo@researchunderwriters.com</t>
  </si>
  <si>
    <t>Risk Partners, Inc.</t>
  </si>
  <si>
    <t>Nathan Spears</t>
  </si>
  <si>
    <t>nathan@genyinsurance.com</t>
  </si>
  <si>
    <t>(615) 515 - 8600</t>
  </si>
  <si>
    <t>Saberlines Insurance Services</t>
  </si>
  <si>
    <t>Ken Welch</t>
  </si>
  <si>
    <t>kwelch@hemly.us</t>
  </si>
  <si>
    <t>(864) 567 - 3482</t>
  </si>
  <si>
    <t>Schroeder Coverage LLC</t>
  </si>
  <si>
    <t>Dave Massaro</t>
  </si>
  <si>
    <t>dmassaro@papost.com</t>
  </si>
  <si>
    <t>Top Notch Insurance Solutions</t>
  </si>
  <si>
    <t>Donna Lamcaj</t>
  </si>
  <si>
    <t>dlamcaj@postfinancial.com</t>
  </si>
  <si>
    <t>(201) 252 - 3016</t>
  </si>
  <si>
    <t>Valley Regional Insurance Services</t>
  </si>
  <si>
    <t>Katy Batista</t>
  </si>
  <si>
    <t>kbatista@papost.com</t>
  </si>
  <si>
    <t>TIPS Insurance</t>
  </si>
  <si>
    <t>Keith Adams</t>
  </si>
  <si>
    <t>kadams@papost.com</t>
  </si>
  <si>
    <t>Patricia Mesa</t>
  </si>
  <si>
    <t>pmesa@claythomasassoc.com</t>
  </si>
  <si>
    <t>Veronica Barkman</t>
  </si>
  <si>
    <t>vbarkman@papost.com</t>
  </si>
  <si>
    <t>(201) 252 - 3024</t>
  </si>
  <si>
    <t>Alex Watson</t>
  </si>
  <si>
    <t>awatson@hilbgroup.com</t>
  </si>
  <si>
    <t>(336) 506 - 6636</t>
  </si>
  <si>
    <t>Clarke White</t>
  </si>
  <si>
    <t>cwhite@hilbgroup.com</t>
  </si>
  <si>
    <t>(336) 506 - 6103</t>
  </si>
  <si>
    <t>Jennifer</t>
  </si>
  <si>
    <t>jhauser@hilbgroup.com</t>
  </si>
  <si>
    <t>Kristin Bennett</t>
  </si>
  <si>
    <t>kbennett@hilbgroup.com</t>
  </si>
  <si>
    <t>(804) 205-1207</t>
  </si>
  <si>
    <t>Matt Gumm</t>
  </si>
  <si>
    <t>mgumm@hilbgroup.com</t>
  </si>
  <si>
    <t>(866) 976 - 8294</t>
  </si>
  <si>
    <t>Stewart Felvey</t>
  </si>
  <si>
    <t>sfelvey@hilbgroup.com</t>
  </si>
  <si>
    <t>Jeremy Williams</t>
  </si>
  <si>
    <t>jeremy@hospitality-ins.com</t>
  </si>
  <si>
    <t>(843) 407 - 5082</t>
  </si>
  <si>
    <t>Jessica Poston</t>
  </si>
  <si>
    <t>csry@hospitality-ins.com</t>
  </si>
  <si>
    <t>Tammy Poston</t>
  </si>
  <si>
    <t>tammy@hospitality-ins.com</t>
  </si>
  <si>
    <t>Francis Imobisa</t>
  </si>
  <si>
    <t>imobisainsurance@gmail.com</t>
  </si>
  <si>
    <t>(804) 270 - 6632</t>
  </si>
  <si>
    <t>Latonya Foster</t>
  </si>
  <si>
    <t>lfoster@imobisainsurance.com</t>
  </si>
  <si>
    <t>Craig Sanassarian</t>
  </si>
  <si>
    <t>Craig.sanassarian@ioausa.com</t>
  </si>
  <si>
    <t>(530) 888 - 7300</t>
  </si>
  <si>
    <t>Joel Batmale</t>
  </si>
  <si>
    <t>joel.batmale@ioausa.com</t>
  </si>
  <si>
    <t>Tiffany Pastorius</t>
  </si>
  <si>
    <t>tiffany.pastorius@ioausa.com</t>
  </si>
  <si>
    <t>(925) 660 - 3523</t>
  </si>
  <si>
    <t>Tom Griffin</t>
  </si>
  <si>
    <t>Tom.Griffin@ioausa.com</t>
  </si>
  <si>
    <t>(866) 664 - 8294</t>
  </si>
  <si>
    <t xml:space="preserve">Tracey Becerra </t>
  </si>
  <si>
    <t>Tracey.Becerra@ioausa.com</t>
  </si>
  <si>
    <t>Carmen Iskander</t>
  </si>
  <si>
    <t>carmeninsurance@aol.com</t>
  </si>
  <si>
    <t>(619) 444 - 4664</t>
  </si>
  <si>
    <t>Maria Jarvis</t>
  </si>
  <si>
    <t>mjarvis@jarvisins.com</t>
  </si>
  <si>
    <t>(951) 395 - 2229</t>
  </si>
  <si>
    <t>Rafeeq Salaam</t>
  </si>
  <si>
    <t>jrafeeq@gmail.com</t>
  </si>
  <si>
    <t>(804) 433 - 3634</t>
  </si>
  <si>
    <t>Mike Guilbault</t>
  </si>
  <si>
    <t>Mikeg@kr-ins.com</t>
  </si>
  <si>
    <t>(619) 291 - 7777</t>
  </si>
  <si>
    <t>Jim Bohn</t>
  </si>
  <si>
    <t>jbohn@kielyhines.com</t>
  </si>
  <si>
    <t>(502) 569 - 2716</t>
  </si>
  <si>
    <t>Philip Palmer</t>
  </si>
  <si>
    <t>ppalmer@kielyhines.com</t>
  </si>
  <si>
    <t>(502) 893-2020</t>
  </si>
  <si>
    <t>Sandra Downs</t>
  </si>
  <si>
    <t>sdowns@kielyhines.com</t>
  </si>
  <si>
    <t>Susan Snelling</t>
  </si>
  <si>
    <t>ssnelling@kielyhines.com</t>
  </si>
  <si>
    <t xml:space="preserve">Teresa DelRial </t>
  </si>
  <si>
    <t xml:space="preserve">L3 Insurance Advisors, LLC </t>
  </si>
  <si>
    <t>teresa@l3insuranceadvisors.com</t>
  </si>
  <si>
    <t>(702) 222-0400</t>
  </si>
  <si>
    <t>Roxann Robinson</t>
  </si>
  <si>
    <t>rromero@leedsandyork.com</t>
  </si>
  <si>
    <t>(775) 823 - 9777</t>
  </si>
  <si>
    <t>Christopher Lee</t>
  </si>
  <si>
    <t>chris@luxquote.com</t>
  </si>
  <si>
    <t>(415) 805 - 2838</t>
  </si>
  <si>
    <t>Philo Bashay</t>
  </si>
  <si>
    <t>philo@luxquote.com</t>
  </si>
  <si>
    <t>(203) 973 - 7589</t>
  </si>
  <si>
    <t>Tim Riley</t>
  </si>
  <si>
    <t>TIMR@MAXIB.COM</t>
  </si>
  <si>
    <t>(610) 228 - 0460</t>
  </si>
  <si>
    <t>Daniela Costanzo</t>
  </si>
  <si>
    <t>dcostanzo@mgins.net</t>
  </si>
  <si>
    <t>(714) 505 - 2907</t>
  </si>
  <si>
    <t>Lou Sukalski</t>
  </si>
  <si>
    <t>newamlou@msn.com</t>
  </si>
  <si>
    <t>(440) 934-7766</t>
  </si>
  <si>
    <t>John Motley</t>
  </si>
  <si>
    <t>jmotley@northernstarins.com</t>
  </si>
  <si>
    <t>(908) 253 - 9484</t>
  </si>
  <si>
    <t>Kevin Clausen</t>
  </si>
  <si>
    <t>kclausen@northernstarins.com</t>
  </si>
  <si>
    <t>Sara Scott</t>
  </si>
  <si>
    <t>sscott@northernstarins.com</t>
  </si>
  <si>
    <t>(937) 432 - 3526</t>
  </si>
  <si>
    <t>Chris Courtad</t>
  </si>
  <si>
    <t>ccourtad@papost.com</t>
  </si>
  <si>
    <t>(216) 952 - 4002</t>
  </si>
  <si>
    <t>dlamcaj@papost.com</t>
  </si>
  <si>
    <t>(201) 252-3016</t>
  </si>
  <si>
    <t xml:space="preserve">Lisa M. Massaro </t>
  </si>
  <si>
    <t>lmassaro@papost.com</t>
  </si>
  <si>
    <t>(201) 252-3064</t>
  </si>
  <si>
    <t>Manny Holden</t>
  </si>
  <si>
    <t>mholden@papost.com</t>
  </si>
  <si>
    <t>(201) 252-3018</t>
  </si>
  <si>
    <t xml:space="preserve">Renee Filippelli </t>
  </si>
  <si>
    <t>rfilippelli@papost.com</t>
  </si>
  <si>
    <t>(201) 252-8610 x7014</t>
  </si>
  <si>
    <t>Valerie Barkman</t>
  </si>
  <si>
    <t>(201) 252-3024</t>
  </si>
  <si>
    <t xml:space="preserve">Valerie Fiorello </t>
  </si>
  <si>
    <t>vfiorello@papost.com</t>
  </si>
  <si>
    <t>(201) 252-8610 x7101</t>
  </si>
  <si>
    <t xml:space="preserve">Veronica Barkman </t>
  </si>
  <si>
    <t>Dwight Zivo</t>
  </si>
  <si>
    <t>Parr Insurance Brokerage, Inc.</t>
  </si>
  <si>
    <t>dwight@parrinsurancebrokerage.com</t>
  </si>
  <si>
    <t>(773) 489 - 3001</t>
  </si>
  <si>
    <t>Joseph N. De Francesco</t>
  </si>
  <si>
    <t>jdefrancesco@psgins.com</t>
  </si>
  <si>
    <t>(484) 322-0420</t>
  </si>
  <si>
    <t>Kristen Ilsemann</t>
  </si>
  <si>
    <t>kilsemann@psgins.com</t>
  </si>
  <si>
    <t>(484) 322 - 0467</t>
  </si>
  <si>
    <t>Patrick Neal</t>
  </si>
  <si>
    <t>patrick@youtubeinsurance.com</t>
  </si>
  <si>
    <t>(925) 963 - 8089</t>
  </si>
  <si>
    <t>Cheryl Lasher</t>
  </si>
  <si>
    <t>cheryl-lasher@leavitt.com</t>
  </si>
  <si>
    <t>(623) 298 - 3161</t>
  </si>
  <si>
    <t>AnabelaF@PRA-LLC.com</t>
  </si>
  <si>
    <t>(973) 845 - 6004</t>
  </si>
  <si>
    <t>David D'Andrea</t>
  </si>
  <si>
    <t>david@pra-llc.com</t>
  </si>
  <si>
    <t>Jennifer Holmes</t>
  </si>
  <si>
    <t>Jennifer@pra-llc.com</t>
  </si>
  <si>
    <t>Louis Campisano</t>
  </si>
  <si>
    <t>Louisjr@pra-llc.com</t>
  </si>
  <si>
    <t>Miguel Leon</t>
  </si>
  <si>
    <t>miguel@pra-llc.com</t>
  </si>
  <si>
    <t>Bryan Moore</t>
  </si>
  <si>
    <t>bryanm@preferredtransportationinsurance.com</t>
  </si>
  <si>
    <t>(714) 348 - 1610</t>
  </si>
  <si>
    <t>Michelle Duran</t>
  </si>
  <si>
    <t>michelle@preferredtransportationinsurance.com</t>
  </si>
  <si>
    <t>(714) 666-6691</t>
  </si>
  <si>
    <t>Rebecca Novotchin</t>
  </si>
  <si>
    <t>rebeccan@preferredtransportationinsurance.com</t>
  </si>
  <si>
    <t>(714) 666 - 6691</t>
  </si>
  <si>
    <t>Staci Jimenez</t>
  </si>
  <si>
    <t>stacij@preferredtransportationinsurance.com</t>
  </si>
  <si>
    <t>Diana Garcia</t>
  </si>
  <si>
    <t>diana@proinsgroup.com</t>
  </si>
  <si>
    <t>(623) 463 - 9000</t>
  </si>
  <si>
    <t>Gary Hanson</t>
  </si>
  <si>
    <t>ghanson@proinsgroup.com</t>
  </si>
  <si>
    <t>Gretchen Bullock</t>
  </si>
  <si>
    <t>gretchen@proinsgroup.com</t>
  </si>
  <si>
    <t>Marlene Flores</t>
  </si>
  <si>
    <t>marlene@proinsgroup.com</t>
  </si>
  <si>
    <t>Brad Bartholomew</t>
  </si>
  <si>
    <t>bbartholomew@riskpartnersinc.com</t>
  </si>
  <si>
    <t>(609) 714 - 7760</t>
  </si>
  <si>
    <t>Ahmad "Al" Rwais</t>
  </si>
  <si>
    <t>AALRWAIS@SABERLINESINS.COM</t>
  </si>
  <si>
    <t>(909) 608 - 0612</t>
  </si>
  <si>
    <t>James Schroeder</t>
  </si>
  <si>
    <t>james@schroedercoverage.com</t>
  </si>
  <si>
    <t>(440) 617 - 9010</t>
  </si>
  <si>
    <t>Rich Burnstein</t>
  </si>
  <si>
    <t>Solomon &amp; Solomon</t>
  </si>
  <si>
    <t>rich@solomonins.com</t>
  </si>
  <si>
    <t>(949) 521-6506</t>
  </si>
  <si>
    <t>Dee Gonzales</t>
  </si>
  <si>
    <t>Stateline Insurance Solutions</t>
  </si>
  <si>
    <t>dee@sis.email</t>
  </si>
  <si>
    <t>(817) 459 - 2590</t>
  </si>
  <si>
    <t>Alyssa Moyer</t>
  </si>
  <si>
    <t>alyssa@pictips.com</t>
  </si>
  <si>
    <t>Lynnsey Moyer</t>
  </si>
  <si>
    <t>lmoyer@pictips.com</t>
  </si>
  <si>
    <t>(610) 622-1954</t>
  </si>
  <si>
    <t>Scott Rovner</t>
  </si>
  <si>
    <t>scottr@pictips.com</t>
  </si>
  <si>
    <t>(610) 622 - 1954</t>
  </si>
  <si>
    <t>Tom McCuckser</t>
  </si>
  <si>
    <t>tom@pictips.com</t>
  </si>
  <si>
    <t>Reid Wood</t>
  </si>
  <si>
    <t>reid@topnotchinsurance.com</t>
  </si>
  <si>
    <t>Robert Rashidi</t>
  </si>
  <si>
    <t>robert@topnotchinsurance.com</t>
  </si>
  <si>
    <t>(206) 264 - 6267</t>
  </si>
  <si>
    <t>Jesslyn Stayner</t>
  </si>
  <si>
    <t>Jesslyn@valleyregional.com</t>
  </si>
  <si>
    <t>(559) 446 - 1398</t>
  </si>
  <si>
    <t>Venture Specialty Insurance</t>
  </si>
  <si>
    <t>(336) 506-6636 x200</t>
  </si>
  <si>
    <t>Maranda Mull</t>
  </si>
  <si>
    <t>mmull@researchunderwriters.com</t>
  </si>
  <si>
    <t>Heather Dezayas</t>
  </si>
  <si>
    <t>hdezayas@researchunderwriters.com</t>
  </si>
  <si>
    <t>Policy Term Start Date</t>
  </si>
  <si>
    <t>Policy Term End Date (Change if Incorrect)</t>
  </si>
  <si>
    <t>New or Renewal?</t>
  </si>
  <si>
    <t>New</t>
  </si>
  <si>
    <t>Renewal</t>
  </si>
  <si>
    <t>Additional interest 1(Type/Name/Address):</t>
  </si>
  <si>
    <t>Additional interest 2(Type/Name/Address):</t>
  </si>
  <si>
    <t>MAINTENANCE/SAFETY/DISCOUNTS</t>
  </si>
  <si>
    <t xml:space="preserve">               * Currently valued (within 60 days), company issued loss runs for the current policy year and 4 prior years.</t>
  </si>
  <si>
    <t>School Bus (1-8 passengers)</t>
  </si>
  <si>
    <t>School Bus (9-20 passengers)</t>
  </si>
  <si>
    <t>School Bus (21-60 passengers)</t>
  </si>
  <si>
    <t>School Bus (60+ passengers)</t>
  </si>
  <si>
    <t>8) Hired Autos</t>
  </si>
  <si>
    <t>9) Non-Owned Autos</t>
  </si>
  <si>
    <t>2,8,9</t>
  </si>
  <si>
    <t>7,8,9</t>
  </si>
  <si>
    <t xml:space="preserve">Charlene Brewer </t>
  </si>
  <si>
    <t>Professional Risk Solutions</t>
  </si>
  <si>
    <t>Charlene@prsbrokers.com</t>
  </si>
  <si>
    <t>Eric Leibowitz</t>
  </si>
  <si>
    <t>eric@prsbrokers.com</t>
  </si>
  <si>
    <t>Jeanette Peraza</t>
  </si>
  <si>
    <t>jperaza@papost.com</t>
  </si>
  <si>
    <t>Jeff Schmidt</t>
  </si>
  <si>
    <t>jeff@researchunderwriters.com</t>
  </si>
  <si>
    <t>Jessica Melito</t>
  </si>
  <si>
    <t>Links Insurance Services LLC</t>
  </si>
  <si>
    <t> JMelito@linksins.onmicrosoft.com</t>
  </si>
  <si>
    <t>John Lais</t>
  </si>
  <si>
    <t>jlais@l3insuranceadvisors.com</t>
  </si>
  <si>
    <t>Krystle Morgan</t>
  </si>
  <si>
    <t>Krystle.Morgan@ioausa.com</t>
  </si>
  <si>
    <t>Maya Vaysman</t>
  </si>
  <si>
    <t>mvaysman@FairmontIns.com</t>
  </si>
  <si>
    <t>Moshe Deutsch</t>
  </si>
  <si>
    <t>Mdeutsch@fairmontins.com</t>
  </si>
  <si>
    <t>Philo Bishay</t>
  </si>
  <si>
    <t>Rick Grimes  </t>
  </si>
  <si>
    <t>Rick@prsbrokers.com</t>
  </si>
  <si>
    <t>Rodrigo Carrera</t>
  </si>
  <si>
    <t>Rcarrera@linksins.com</t>
  </si>
  <si>
    <t xml:space="preserve">Roxanne Browning </t>
  </si>
  <si>
    <t xml:space="preserve">Assured Neace Lukens Insurance </t>
  </si>
  <si>
    <t>Roxanne.Browning@assuredptrnl.com</t>
  </si>
  <si>
    <t>Stephen Vaughan</t>
  </si>
  <si>
    <t>svaughan@linksins.com</t>
  </si>
  <si>
    <t xml:space="preserve">Anthony Searcy </t>
  </si>
  <si>
    <t>MAXIMUM</t>
  </si>
  <si>
    <t xml:space="preserve">ANTHONYS@MAXIB.COM </t>
  </si>
  <si>
    <t>Mayra Jimenez</t>
  </si>
  <si>
    <t>Vaught Insurance Services, Inc.</t>
  </si>
  <si>
    <t>mayra@vaughtinsurance.com</t>
  </si>
  <si>
    <t>Maria Belmarez</t>
  </si>
  <si>
    <t>Maria@vaughtinsurance.com</t>
  </si>
  <si>
    <t>Mary Vaught</t>
  </si>
  <si>
    <t>Mary@vaughtinsurance.com</t>
  </si>
  <si>
    <t>Michele Stafford</t>
  </si>
  <si>
    <t>michele@vaughtinsurance.com</t>
  </si>
  <si>
    <t>Dana Moore</t>
  </si>
  <si>
    <t>Specialty Unlimited Agency LLC</t>
  </si>
  <si>
    <t>dana@unlimitedinsurance.org</t>
  </si>
  <si>
    <t>Michelle Diamondson</t>
  </si>
  <si>
    <t>michelle@unlimitedinsurance.org</t>
  </si>
  <si>
    <t>Wael Mohammad</t>
  </si>
  <si>
    <t>Casurance Agency Insurance Services, LLC</t>
  </si>
  <si>
    <t>wael@casurance.com</t>
  </si>
  <si>
    <t>Gayle Williams</t>
  </si>
  <si>
    <t>Propel Insurance</t>
  </si>
  <si>
    <t>Gayle.Williams@propelinsurance.com</t>
  </si>
  <si>
    <t xml:space="preserve">Trisha Baldovinos </t>
  </si>
  <si>
    <t>Trisha.Baldovinos@propelinsurance.com</t>
  </si>
  <si>
    <t>Cleonie Nathanielsz</t>
  </si>
  <si>
    <t>Cleonie.Nathanielsz@propelinsurance.com</t>
  </si>
  <si>
    <t>Dan DeGrange</t>
  </si>
  <si>
    <t>Dan.DeGrange@propelinsurance.com</t>
  </si>
  <si>
    <t>Andrew Arceri</t>
  </si>
  <si>
    <t>Crossland Insurance Agency</t>
  </si>
  <si>
    <t>andrew@crosslandins.com</t>
  </si>
  <si>
    <t>Kristen Vice</t>
  </si>
  <si>
    <t>kristen@crosslandins.com</t>
  </si>
  <si>
    <t>Lori Norris</t>
  </si>
  <si>
    <t>LNorris@riskpartners.com</t>
  </si>
  <si>
    <t>David Holcomb</t>
  </si>
  <si>
    <t>Reisen Agency Inc</t>
  </si>
  <si>
    <t>david@reisenagency.com</t>
  </si>
  <si>
    <t>Michael Cluett</t>
  </si>
  <si>
    <t>Cluett Commercial Insurance</t>
  </si>
  <si>
    <t>Mcluett@cluettinsurance.com</t>
  </si>
  <si>
    <t>Bruce Cluett</t>
  </si>
  <si>
    <t>Bcluett@cluettinsurance.com</t>
  </si>
  <si>
    <t>Jenny Boulos</t>
  </si>
  <si>
    <t>Pauma/Valley Insurance Agency Inc</t>
  </si>
  <si>
    <t>jenny@pvins.com</t>
  </si>
  <si>
    <t xml:space="preserve">Deanna DeLoen </t>
  </si>
  <si>
    <t>deanna@vaughtinsurance.com</t>
  </si>
  <si>
    <t>Maha Alhalabi</t>
  </si>
  <si>
    <t>maha@casurance.com</t>
  </si>
  <si>
    <t>Michael Pegram</t>
  </si>
  <si>
    <t>mike@hospitality-ins.com</t>
  </si>
  <si>
    <t>Do you agree to report all drivers to Rivington?</t>
  </si>
  <si>
    <r>
      <t>Will all claims be reported directly to NARS?</t>
    </r>
    <r>
      <rPr>
        <sz val="18"/>
        <rFont val="Arial"/>
        <family val="2"/>
      </rPr>
      <t>*</t>
    </r>
  </si>
  <si>
    <t>Does applicant require an A-rated carrier?</t>
  </si>
  <si>
    <r>
      <t xml:space="preserve">               * Current driver's list and motor vehicle records for </t>
    </r>
    <r>
      <rPr>
        <u/>
        <sz val="11"/>
        <rFont val="Arial"/>
        <family val="2"/>
      </rPr>
      <t>ALL</t>
    </r>
    <r>
      <rPr>
        <sz val="11"/>
        <rFont val="Arial"/>
        <family val="2"/>
      </rPr>
      <t xml:space="preserve"> drivers.  Include dates of birth, dates of hire, years experience, social security numbers and license numbers.</t>
    </r>
  </si>
  <si>
    <t>Social Security Number</t>
  </si>
  <si>
    <t>Auto Liability Symbols Covered</t>
  </si>
  <si>
    <t>New Venture - No Driving Experience</t>
  </si>
  <si>
    <t>New Venture - Owned Another Company</t>
  </si>
  <si>
    <t>New Venture - Owner Currently Owns Another Company</t>
  </si>
  <si>
    <t>New Venture - Owner Was Driver For Another Company</t>
  </si>
  <si>
    <t>Max Age (#):</t>
  </si>
  <si>
    <t>Min Age (#):</t>
  </si>
  <si>
    <t>Unit Description (i.e. Manufacturer/Device Name)</t>
  </si>
  <si>
    <t>Airport Bus Or Airport Limousine(1-8)</t>
  </si>
  <si>
    <t>Airport Bus Or Airport Limousine(21-60)</t>
  </si>
  <si>
    <t>Airport Bus Or Airport Limousine(9-20)</t>
  </si>
  <si>
    <t>Airport Bus Or Airport Limousine(Over 60)</t>
  </si>
  <si>
    <t>Car Service</t>
  </si>
  <si>
    <t>Charter Bus(1-8)</t>
  </si>
  <si>
    <t>Charter Bus(21-60)</t>
  </si>
  <si>
    <t>Charter Bus(9-20)</t>
  </si>
  <si>
    <t>Charter Bus(Over 60)</t>
  </si>
  <si>
    <t>Church Bus(1-8)</t>
  </si>
  <si>
    <t>Church Bus(21-60)</t>
  </si>
  <si>
    <t>Church Bus(9-20)</t>
  </si>
  <si>
    <t>Church Bus(Over 60)</t>
  </si>
  <si>
    <t>Inter-city Bus(1-8)</t>
  </si>
  <si>
    <t>Inter-city Bus(21-60)</t>
  </si>
  <si>
    <t>Inter-city Bus(9-20)</t>
  </si>
  <si>
    <t>Inter-city Bus(Over 60)</t>
  </si>
  <si>
    <t>Limousine - Seating 8 or Fewer</t>
  </si>
  <si>
    <t>Limousine - Seating More Than 8</t>
  </si>
  <si>
    <t>New York City Luxury Limousine - Seating 8 or Fewer</t>
  </si>
  <si>
    <t>New York City Luxury Limousine - Seating More Than 8</t>
  </si>
  <si>
    <t>New York City Medallion Taxicab - All Other</t>
  </si>
  <si>
    <t>New York City Medallion Taxicab – Owner-driver</t>
  </si>
  <si>
    <t>Other School Bus(1 -8)</t>
  </si>
  <si>
    <t>Other School Bus(21 -60)</t>
  </si>
  <si>
    <t>Other School Bus(9 -20)</t>
  </si>
  <si>
    <t>Other School Bus(Over 60)</t>
  </si>
  <si>
    <t>Paratransit(1-8)</t>
  </si>
  <si>
    <t>Paratransit(21-60)</t>
  </si>
  <si>
    <t>Paratransit(9-20)</t>
  </si>
  <si>
    <t>Paratransit(Over 60)</t>
  </si>
  <si>
    <t>Public Auto Not Otherwise Classified</t>
  </si>
  <si>
    <t>School Bus Owned By Political Subdivision Or School District(1-8)</t>
  </si>
  <si>
    <t>School Bus Owned By Political Subdivision Or School District(21-60)</t>
  </si>
  <si>
    <t>School Bus Owned By Political Subdivision Or School District(9-20)</t>
  </si>
  <si>
    <t>School Bus Owned By Political Subdivision Or School District(Over 60)</t>
  </si>
  <si>
    <t>Sightseeing Bus(1-8)</t>
  </si>
  <si>
    <t>Sightseeing Bus(21-60)</t>
  </si>
  <si>
    <t>Sightseeing Bus(9-20)</t>
  </si>
  <si>
    <t>Sightseeing Bus(Over 60)</t>
  </si>
  <si>
    <t>Social Service Agency Auto All Other(1-8)</t>
  </si>
  <si>
    <t>Social Service Agency Auto All Other(21-60)</t>
  </si>
  <si>
    <t>Social Service Agency Auto All Other(9-20)</t>
  </si>
  <si>
    <t>Social Service Agency Auto All Other(Over 60)</t>
  </si>
  <si>
    <t>Social Service Agency Auto Employee operated(1-8)</t>
  </si>
  <si>
    <t>Social Service Agency Auto Employee operated(21-60)</t>
  </si>
  <si>
    <t>Social Service Agency Auto Employee operated(9-20)</t>
  </si>
  <si>
    <t>Social Service Agency Auto Employee operated(Over 60)</t>
  </si>
  <si>
    <t>Street Hail Livery - All Other</t>
  </si>
  <si>
    <t>Street Hail Livery - Owner-Driver</t>
  </si>
  <si>
    <t>Taxicab - All Other</t>
  </si>
  <si>
    <t>Taxicab -Owner-driver</t>
  </si>
  <si>
    <t>Transportation Of Athletes And Entertainers(1-8)</t>
  </si>
  <si>
    <t>Transportation Of Athletes And Entertainers(21-60)</t>
  </si>
  <si>
    <t>Transportation Of Athletes And Entertainers(9-20)</t>
  </si>
  <si>
    <t>Transportation Of Athletes And Entertainers(Over 60)</t>
  </si>
  <si>
    <t>Urban Bus(1-8)</t>
  </si>
  <si>
    <t>Urban Bus(21-60)</t>
  </si>
  <si>
    <t>Urban Bus(9-20)</t>
  </si>
  <si>
    <t>Urban Bus(Over 60)</t>
  </si>
  <si>
    <t>Jitney</t>
  </si>
  <si>
    <t>Van Pool(1-8)</t>
  </si>
  <si>
    <t>Van Pool(21-60)</t>
  </si>
  <si>
    <t>Van Pool(9-20)</t>
  </si>
  <si>
    <t>Van Pool(Over 60)</t>
  </si>
  <si>
    <t>What percentage of your trips are:</t>
  </si>
  <si>
    <t>Airport</t>
  </si>
  <si>
    <t>Corporate</t>
  </si>
  <si>
    <t>Weddings</t>
  </si>
  <si>
    <t>Night Out</t>
  </si>
  <si>
    <t>School</t>
  </si>
  <si>
    <t>Disabled/Handicapped</t>
  </si>
  <si>
    <t>Non-Emergency Medical</t>
  </si>
  <si>
    <t>Total (must add to 100%)</t>
  </si>
  <si>
    <t xml:space="preserve">Has any company provided notice of cancellation/non-renewal or otherwise canceled/refused to renew your insurance, including during the current term? </t>
  </si>
  <si>
    <t>Medical Payments Limit</t>
  </si>
  <si>
    <t>Sub-Producer Name (if applicable):</t>
  </si>
  <si>
    <t>Ambulance</t>
  </si>
  <si>
    <t xml:space="preserve">Charter: List all destinations as a % of total trips;  Taxi/Limo/Transit: List areas served and percent of trips;  School: List school districts served. </t>
  </si>
  <si>
    <t>NEMT/Paratransit/Ambulance Only Section</t>
  </si>
  <si>
    <t>n/a</t>
  </si>
  <si>
    <t>MedPay</t>
  </si>
  <si>
    <t>PIP Limits</t>
  </si>
  <si>
    <t>NY-$50,000 PIP Limit</t>
  </si>
  <si>
    <t>MN-Basic Limit do not know</t>
  </si>
  <si>
    <t>PA-Medical Expense Benefits Up to $5000 per insured</t>
  </si>
  <si>
    <t>FL-$10,000 PIP Limit</t>
  </si>
  <si>
    <t>ND-Basic Limit do not know</t>
  </si>
  <si>
    <t>OR-Medical Expenses $15000 Less Deductible,if any -Income Continuation Expenses $3000 Per month Loss of Service Expenses $30 Per day, Funeraal Expenses $5000, Child Care Expenses $25 Per day, up to $</t>
  </si>
  <si>
    <t>DE-Single PIP Limit $30000 Each "Accident"-Split Limit $15000 Per person/$30000 Per Accident</t>
  </si>
  <si>
    <t>MD-$2500 PIP Limit</t>
  </si>
  <si>
    <t>TX-$2500 PIP Limit</t>
  </si>
  <si>
    <t>UT-Medical Expenses $3000, WL 85% of any loss of gross income and earning capacity, not to exceed $250 per week and $20 per day for inability to perform services for the household, Funeral Expenses $1500, Survivor Loss $3000</t>
  </si>
  <si>
    <t>KS-Medical Expenses Up to $4500, Rehabilitation Expenses Up to $4500, WL $900 per month Max up to one year, Essential Service Expenses Up to $25 per day up to 365 days, Funeral Expenses up to $2000 per person, Survivor's Loss $900 per month Max up to 365 days.</t>
  </si>
  <si>
    <t>No PIP</t>
  </si>
  <si>
    <t>NY-Additional Limits of Combined Medical Expense and WL $25000-Additional Monthly WL $500Additional ES Limit $25</t>
  </si>
  <si>
    <t>NY-Additional Limits of Combined Medical Expense and WL $50000-Additional Monthly WL $1000Additional ES Limit $25</t>
  </si>
  <si>
    <t>NY-Additional Limits of Combined Medical Expense and WL $100000-Additional Monthly WL $2000Additional ES Limit $25</t>
  </si>
  <si>
    <t>NY-Additional Limits of Combined Medical Expense and WL $150000-Additional Monthly WL $3000Additional ES Limit $25</t>
  </si>
  <si>
    <t>MN-Medical Expenses $30000-Aggregate WL, ES, FE and SL $20000-Weekly Maximum WL Or SL For Loss of Contributions $500-Weekly Maximum ES Or SL For Subsittute Services $200</t>
  </si>
  <si>
    <t>MN-Medical Expenses $40000-Aggregate WL, ES, FE and SL $20000-Weekly Maximum WL Or SL For Loss of Contributions $500-Weekly Maximum ES Or SL For Subsittute Services $200</t>
  </si>
  <si>
    <t>MN-Medical Expenses $50000-Aggregate WL, ES, FE and SL $20000-Weekly Maximum WL Or SL For Loss of Contributions $500-Weekly Maximum ES Or SL For Subsittute Services $200</t>
  </si>
  <si>
    <t>MN-Medical Expenses $50000-Aggregate WL, ES, FE and SL $25000-Weekly Maximum WL Or SL For Loss of Contributions $600-Weekly Maximum ES Or SL For Subsittute Services $300</t>
  </si>
  <si>
    <t>MN-Medical Expenses $75000-Aggregate WL, ES, FE and SL $25000-Weekly Maximum WL Or SL For Loss of Contributions $600-Weekly Maximum ES Or SL For Subsittute Services $300</t>
  </si>
  <si>
    <t>MN-Medical Expenses $100000-Aggregate WL, ES, FE and SL $50000-Weekly Maximum WL Or SL For Loss of Contributions $800-Weekly Maximum ES Or SL For Subsittute Services $300</t>
  </si>
  <si>
    <t>PA-Additional Monthly WL$1000/5000-Medical Expenses $10000-Funeral $1500-Accidental Death Benefits $5000</t>
  </si>
  <si>
    <t>PA-Additional Monthly WL$1000/5000-Medical Expenses $10000-Funeral $1500-Accidental Death Benefits $10000</t>
  </si>
  <si>
    <t>PA-Additional Monthly WL$1000/5000-Medical Expenses $10000-Funeral $1500-Accidental Death Benefits $25000</t>
  </si>
  <si>
    <t>PA-Additional Monthly WL$1000/5000-Medical Expenses $10000-Funeral $2500-Accidental Death Benefits $5000</t>
  </si>
  <si>
    <t>PA-Additional Monthly WL$1000/5000-Medical Expenses $10000-Funeral $2500-Accidental Death Benefits $10000</t>
  </si>
  <si>
    <t>PA-Additional Monthly WL$1000/5000-Medical Expenses $10000-Funeral $2500-Accidental Death Benefits $25000</t>
  </si>
  <si>
    <t>PA-Additional Monthly WL$1000/5000-Medical Expenses $25000-Funeral $1500-Accidental Death Benefits $5000</t>
  </si>
  <si>
    <t>PA-Additional Monthly WL$1000/5000-Medical Expenses $25000-Funeral $1500-Accidental Death Benefits $10000</t>
  </si>
  <si>
    <t>PA-Additional Monthly WL$1000/5000-Medical Expenses $25000-Funeral $1500-Accidental Death Benefits $25000</t>
  </si>
  <si>
    <t>PA-Additional Monthly WL$1000/5000-Medical Expenses $25000-Funeral $2500-Accidental Death Benefits $5000</t>
  </si>
  <si>
    <t>PA-Additional Monthly WL$1000/5000-Medical Expenses $25000-Funeral $2500-Accidental Death Benefits $10000</t>
  </si>
  <si>
    <t>PA-Additional Monthly WL$1000/5000-Medical Expenses $25000-Funeral $2500-Accidental Death Benefits $25000</t>
  </si>
  <si>
    <t>PA-Additional Monthly WL$1000/5000-Medical Expenses $50000-Funeral $1500-Accidental Death Benefits $5000</t>
  </si>
  <si>
    <t>PA-Additional Monthly WL$1000/5000-Medical Expenses $50000-Funeral $1500-Accidental Death Benefits $10000</t>
  </si>
  <si>
    <t>PA-Additional Monthly WL$1000/5000-Medical Expenses $50000-Funeral $1500-Accidental Death Benefits $25000</t>
  </si>
  <si>
    <t>PA-Additional Monthly WL$1000/5000-Medical Expenses $50000-Funeral $2500-Accidental Death Benefits $5000</t>
  </si>
  <si>
    <t>PA-Additional Monthly WL$1000/5000-Medical Expenses $50000-Funeral $2500-Accidental Death Benefits $10000</t>
  </si>
  <si>
    <t>PA-Additional Monthly WL$1000/5000-Medical Expenses $50000-Funeral $2500-Accidental Death Benefits $25000</t>
  </si>
  <si>
    <t>PA-Additional Monthly WL$1000/5000-Medical Expenses $100000-Funeral $1500-Accidental Death Benefits $5000</t>
  </si>
  <si>
    <t>PA-Additional Monthly WL$1000/5000-Medical Expenses $100000-Funeral $1500-Accidental Death Benefits $10000</t>
  </si>
  <si>
    <t>PA-Additional Monthly WL$1000/5000-Medical Expenses $100000-Funeral $1500-Accidental Death Benefits $25000</t>
  </si>
  <si>
    <t>PA-Additional Monthly WL$1000/5000-Medical Expenses $100000-Funeral $2500-Accidental Death Benefits $5000</t>
  </si>
  <si>
    <t>PA-Additional Monthly WL$1000/5000-Medical Expenses $100000-Funeral $2500-Accidental Death Benefits $10000</t>
  </si>
  <si>
    <t>PA-Additional Monthly WL$1000/5000-Medical Expenses $100000-Funeral $2500-Accidental Death Benefits $25000</t>
  </si>
  <si>
    <t>PA-Additional Monthly WL$1000/15000-Medical Expenses $10000-Funeral $1500-Accidental Death Benefits $5000</t>
  </si>
  <si>
    <t>PA-Additional Monthly WL$1000/15000-Medical Expenses $10000-Funeral $1500-Accidental Death Benefits $10000</t>
  </si>
  <si>
    <t>PA-Additional Monthly WL$1000/15000-Medical Expenses $10000-Funeral $1500-Accidental Death Benefits $25000</t>
  </si>
  <si>
    <t>PA-Additional Monthly WL$1000/15000-Medical Expenses $10000-Funeral $2500-Accidental Death Benefits $5000</t>
  </si>
  <si>
    <t>PA-Additional Monthly WL$1000/15000-Medical Expenses $10000-Funeral $2500-Accidental Death Benefits $10000</t>
  </si>
  <si>
    <t>PA-Additional Monthly WL$1000/15000-Medical Expenses $10000-Funeral $2500-Accidental Death Benefits $25000</t>
  </si>
  <si>
    <t>PA-Additional Monthly WL$1000/15000-Medical Expenses $25000-Funeral $1500-Accidental Death Benefits $5000</t>
  </si>
  <si>
    <t>PA-Additional Monthly WL$1000/15000-Medical Expenses $25000-Funeral $1500-Accidental Death Benefits $10000</t>
  </si>
  <si>
    <t>PA-Additional Monthly WL$1000/15000-Medical Expenses $25000-Funeral $1500-Accidental Death Benefits $25000</t>
  </si>
  <si>
    <t>PA-Additional Monthly WL$1000/15000-Medical Expenses $25000-Funeral $2500-Accidental Death Benefits $5000</t>
  </si>
  <si>
    <t>PA-Additional Monthly WL$1000/15000-Medical Expenses $25000-Funeral $2500-Accidental Death Benefits $10000</t>
  </si>
  <si>
    <t>PA-Additional Monthly WL$1000/15000-Medical Expenses $25000-Funeral $2500-Accidental Death Benefits $25000</t>
  </si>
  <si>
    <t>PA-Additional Monthly WL$1000/15000-Medical Expenses $50000-Funeral $1500-Accidental Death Benefits $5000</t>
  </si>
  <si>
    <t>PA-Additional Monthly WL$1000/15000-Medical Expenses $50000-Funeral $1500-Accidental Death Benefits $10000</t>
  </si>
  <si>
    <t>PA-Additional Monthly WL$1000/15000-Medical Expenses $50000-Funeral $1500-Accidental Death Benefits $25000</t>
  </si>
  <si>
    <t>PA-Additional Monthly WL$1000/15000-Medical Expenses $50000-Funeral $2500-Accidental Death Benefits $5000</t>
  </si>
  <si>
    <t>PA-Additional Monthly WL$1000/15000-Medical Expenses $50000-Funeral $2500-Accidental Death Benefits $10000</t>
  </si>
  <si>
    <t>PA-Additional Monthly WL$1000/15000-Medical Expenses $50000-Funeral $2500-Accidental Death Benefits $25000</t>
  </si>
  <si>
    <t>PA-Additional Monthly WL$1000/15000-Medical Expenses $100000-Funeral $1500-Accidental Death Benefits $5000</t>
  </si>
  <si>
    <t>PA-Additional Monthly WL$1000/15000-Medical Expenses $100000-Funeral $1500-Accidental Death Benefits $10000</t>
  </si>
  <si>
    <t>PA-Additional Monthly WL$1000/15000-Medical Expenses $100000-Funeral $1500-Accidental Death Benefits $25000</t>
  </si>
  <si>
    <t>PA-Additional Monthly WL$1000/15000-Medical Expenses $100000-Funeral $2500-Accidental Death Benefits $5000</t>
  </si>
  <si>
    <t>PA-Additional Monthly WL$1000/15000-Medical Expenses $100000-Funeral $2500-Accidental Death Benefits $10000</t>
  </si>
  <si>
    <t>PA-Additional Monthly WL$1000/15000-Medical Expenses $100000-Funeral $2500-Accidental Death Benefits $25000</t>
  </si>
  <si>
    <t>PA-Additional Monthly WL$1500/25000-Medical Expenses $10000-Funeral $1500-Accidental Death Benefits $5000</t>
  </si>
  <si>
    <t>PA-Additional Monthly WL$1500/25000-Medical Expenses $10000-Funeral $1500-Accidental Death Benefits $10000</t>
  </si>
  <si>
    <t>PA-Additional Monthly WL$1500/25000-Medical Expenses $10000-Funeral $1500-Accidental Death Benefits $25000</t>
  </si>
  <si>
    <t>PA-Additional Monthly WL$1500/25000-Medical Expenses $10000-Funeral $2500-Accidental Death Benefits $5000</t>
  </si>
  <si>
    <t>PA-Additional Monthly WL$1500/25000-Medical Expenses $10000-Funeral $2500-Accidental Death Benefits $10000</t>
  </si>
  <si>
    <t>PA-Additional Monthly WL$1500/25000-Medical Expenses $10000-Funeral $2500-Accidental Death Benefits $25000</t>
  </si>
  <si>
    <t>PA-Additional Monthly WL$1500/25000-Medical Expenses $25000-Funeral $1500-Accidental Death Benefits $5000</t>
  </si>
  <si>
    <t>PA-Additional Monthly WL$1500/25000-Medical Expenses $25000-Funeral $1500-Accidental Death Benefits $10000</t>
  </si>
  <si>
    <t>PA-Additional Monthly WL$1500/25000-Medical Expenses $25000-Funeral $1500-Accidental Death Benefits $25000</t>
  </si>
  <si>
    <t>PA-Additional Monthly WL$1500/25000-Medical Expenses $25000-Funeral $2500-Accidental Death Benefits $5000</t>
  </si>
  <si>
    <t>PA-Additional Monthly WL$1500/25000-Medical Expenses $25000-Funeral $2500-Accidental Death Benefits $10000</t>
  </si>
  <si>
    <t>PA-Additional Monthly WL$1500/25000-Medical Expenses $25000-Funeral $2500-Accidental Death Benefits $25000</t>
  </si>
  <si>
    <t>PA-Additional Monthly WL$1500/25000-Medical Expenses $50000-Funeral $1500-Accidental Death Benefits $5000</t>
  </si>
  <si>
    <t>PA-Additional Monthly WL$1500/25000-Medical Expenses $50000-Funeral $1500-Accidental Death Benefits $10000</t>
  </si>
  <si>
    <t>PA-Additional Monthly WL$1500/25000-Medical Expenses $50000-Funeral $1500-Accidental Death Benefits $25000</t>
  </si>
  <si>
    <t>PA-Additional Monthly WL$1500/25000-Medical Expenses $50000-Funeral $2500-Accidental Death Benefits $5000</t>
  </si>
  <si>
    <t>PA-Additional Monthly WL$1500/25000-Medical Expenses $50000-Funeral $2500-Accidental Death Benefits $10000</t>
  </si>
  <si>
    <t>PA-Additional Monthly WL$1500/25000-Medical Expenses $50000-Funeral $2500-Accidental Death Benefits $25000</t>
  </si>
  <si>
    <t>PA-Additional Monthly WL$1500/25000-Medical Expenses $100000-Funeral $1500-Accidental Death Benefits $5000</t>
  </si>
  <si>
    <t>PA-Additional Monthly WL$1500/25000-Medical Expenses $100000-Funeral $1500-Accidental Death Benefits $10000</t>
  </si>
  <si>
    <t>PA-Additional Monthly WL$1500/25000-Medical Expenses $100000-Funeral $1500-Accidental Death Benefits $25000</t>
  </si>
  <si>
    <t>PA-Additional Monthly WL$1500/25000-Medical Expenses $100000-Funeral $2500-Accidental Death Benefits $5000</t>
  </si>
  <si>
    <t>PA-Additional Monthly WL$1500/25000-Medical Expenses $100000-Funeral $2500-Accidental Death Benefits $10000</t>
  </si>
  <si>
    <t>PA-Additional Monthly WL$1500/25000-Medical Expenses $100000-Funeral $2500-Accidental Death Benefits $25000</t>
  </si>
  <si>
    <t>PA-Additional Monthly WL$2500/50000-Medical Expenses $10000-Funeral $1500-Accidental Death Benefits $5000</t>
  </si>
  <si>
    <t>PA-Additional Monthly WL$2500/50000-Medical Expenses $10000-Funeral $1500-Accidental Death Benefits $10000</t>
  </si>
  <si>
    <t>PA-Additional Monthly WL$2500/50000-Medical Expenses $10000-Funeral $1500-Accidental Death Benefits $25000</t>
  </si>
  <si>
    <t>PA-Additional Monthly WL$2500/50000-Medical Expenses $10000-Funeral $2500-Accidental Death Benefits $5000</t>
  </si>
  <si>
    <t>PA-Additional Monthly WL$2500/50000-Medical Expenses $10000-Funeral $2500-Accidental Death Benefits $10000</t>
  </si>
  <si>
    <t>PA-Additional Monthly WL$2500/50000-Medical Expenses $10000-Funeral $2500-Accidental Death Benefits $25000</t>
  </si>
  <si>
    <t>PA-Additional Monthly WL$2500/50000-Medical Expenses $25000-Funeral $1500-Accidental Death Benefits $5000</t>
  </si>
  <si>
    <t>PA-Additional Monthly WL$2500/50000-Medical Expenses $25000-Funeral $1500-Accidental Death Benefits $10000</t>
  </si>
  <si>
    <t>PA-Additional Monthly WL$2500/50000-Medical Expenses $25000-Funeral $1500-Accidental Death Benefits $25000</t>
  </si>
  <si>
    <t>PA-Additional Monthly WL$2500/50000-Medical Expenses $25000-Funeral $2500-Accidental Death Benefits $5000</t>
  </si>
  <si>
    <t>PA-Additional Monthly WL$2500/50000-Medical Expenses $25000-Funeral $2500-Accidental Death Benefits $10000</t>
  </si>
  <si>
    <t>PA-Additional Monthly WL$2500/50000-Medical Expenses $25000-Funeral $2500-Accidental Death Benefits $25000</t>
  </si>
  <si>
    <t>PA-Additional Monthly WL$2500/50000-Medical Expenses $50000-Funeral $1500-Accidental Death Benefits $5000</t>
  </si>
  <si>
    <t>PA-Additional Monthly WL$2500/50000-Medical Expenses $50000-Funeral $1500-Accidental Death Benefits $10000</t>
  </si>
  <si>
    <t>PA-Additional Monthly WL$2500/50000-Medical Expenses $50000-Funeral $1500-Accidental Death Benefits $25000</t>
  </si>
  <si>
    <t>PA-Additional Monthly WL$2500/50000-Medical Expenses $50000-Funeral $2500-Accidental Death Benefits $5000</t>
  </si>
  <si>
    <t>PA-Additional Monthly WL$2500/50000-Medical Expenses $50000-Funeral $2500-Accidental Death Benefits $10000</t>
  </si>
  <si>
    <t>PA-Additional Monthly WL$2500/50000-Medical Expenses $50000-Funeral $2500-Accidental Death Benefits $25000</t>
  </si>
  <si>
    <t>PA-Additional Monthly WL$2500/50000-Medical Expenses $100000-Funeral $1500-Accidental Death Benefits $5000</t>
  </si>
  <si>
    <t>PA-Additional Monthly WL$2500/50000-Medical Expenses $100000-Funeral $1500-Accidental Death Benefits $10000</t>
  </si>
  <si>
    <t>PA-Additional Monthly WL$2500/50000-Medical Expenses $100000-Funeral $1500-Accidental Death Benefits $25000</t>
  </si>
  <si>
    <t>PA-Additional Monthly WL$2500/50000-Medical Expenses $100000-Funeral $2500-Accidental Death Benefits $5000</t>
  </si>
  <si>
    <t>PA-Additional Monthly WL$2500/50000-Medical Expenses $100000-Funeral $2500-Accidental Death Benefits $10000</t>
  </si>
  <si>
    <t>PA-Additional Monthly WL$2500/50000-Medical Expenses $100000-Funeral $2500-Accidental Death Benefits $25000</t>
  </si>
  <si>
    <t>FL-Additonal Limits(including WL) $10000</t>
  </si>
  <si>
    <t>FL-Additonal Limits(including WL) $25000</t>
  </si>
  <si>
    <t>FL-Additonal Limits(including WL) $40000</t>
  </si>
  <si>
    <t>FL-Additonal Limits(including WL) $90000</t>
  </si>
  <si>
    <t>FL-Additonal Limits(excluding WL) $10000</t>
  </si>
  <si>
    <t>FL-Additonal Limits(excluding WL) $25000</t>
  </si>
  <si>
    <t>FL-Additonal Limits(excluding WL) $40000</t>
  </si>
  <si>
    <t>FL-Additonal Limits(excluding WL) $90000</t>
  </si>
  <si>
    <t>NJ-Weekly Income Benefit $100-Total Aggregate Income Benefit $10400-Per Day ES Benefit $12-Aggregate ES Benefit $8760-Death Benefit $10000-Funeral $2000</t>
  </si>
  <si>
    <t>NJ-Weekly Income Benefit $125-Total Aggregate Income Benefit $13000-Per Day ES Benefit $20-Aggregate ES Benefit $14600-Death Benefit $10000-Funeral $2000</t>
  </si>
  <si>
    <t>NJ-Weekly Income Benefit $175-Total Aggregate Income Benefit $18200-Per Day ES Benefit $20-Aggregate ES Benefit $14600-Death Benefit $10000-Funeral $2000</t>
  </si>
  <si>
    <t>NJ-Weekly Income Benefit $250-Total Aggregate Income Benefit $26000-Per Day ES Benefit $20-Aggregate ES Benefit $14600-Death Benefit $10000-Funeral $2000</t>
  </si>
  <si>
    <t>NJ-Weekly Income Benefit $400-Total Aggregate Income Benefit $41600-Per Day ES Benefit $20-Aggregate ES Benefit $14600-Death Benefit $10000-Funeral $2000</t>
  </si>
  <si>
    <t>NJ-Weekly Income Benefit $500-Total Aggregate Income Benefit $52000-Per Day ES Benefit $20-Aggregate ES Benefit $14600-Death Benefit $10000-Funeral $2000</t>
  </si>
  <si>
    <t>NJ-Weekly Income Benefit $600-Total Aggregate Income Benefit $62400-Per Day ES Benefit $20-Aggregate ES Benefit $14600-Death Benefit $10000-Funeral $2000</t>
  </si>
  <si>
    <t>NJ-Weekly Income Benefit $700-Total Aggregate Income Benefit $72800-Per Day ES Benefit $20-Aggregate ES Benefit $14600-Death Benefit $10000-Funeral $2000</t>
  </si>
  <si>
    <t>NJ-Weekly Income Benefit $100-Total Aggregate Income Benefit $Unlimited-Per Day ES Benefit $12-Aggregate ES Benefit $8760-Death Benefit $10000-Funeral $2000</t>
  </si>
  <si>
    <t>NJ-Weekly Income Benefit $125-Total Aggregate Income Benefit $Unlimited-Per Day ES Benefit $20-Aggregate ES Benefit $14600-Death Benefit $10000-Funeral $2000</t>
  </si>
  <si>
    <t>NJ-Weekly Income Benefit $175-Total Aggregate Income Benefit $Unlimited-Per Day ES Benefit $20-Aggregate ES Benefit $14600-Death Benefit $10000-Funeral $2000</t>
  </si>
  <si>
    <t>NJ-Weekly Income Benefit $250-Total Aggregate Income Benefit $Unlimited-Per Day ES Benefit $20-Aggregate ES Benefit $14600-Death Benefit $10000-Funeral $2000</t>
  </si>
  <si>
    <t>NJ-Weekly Income Benefit $400-Total Aggregate Income Benefit $Unlimited-Per Day ES Benefit $20-Aggregate ES Benefit $14600-Death Benefit $10000-Funeral $2000</t>
  </si>
  <si>
    <t>NJ-Weekly Income Benefit $500-Total Aggregate Income Benefit $Unlimited-Per Day ES Benefit $20-Aggregate ES Benefit $14600-Death Benefit $10000-Funeral $2000</t>
  </si>
  <si>
    <t>NJ-Weekly Income Benefit $600-Total Aggregate Income Benefit $Unlimited-Per Day ES Benefit $20-Aggregate ES Benefit $14600-Death Benefit $10000-Funeral $2000</t>
  </si>
  <si>
    <t>NJ-Weekly Income Benefit $700-Total Aggregate Income Benefit $Unlimited-Per Day ES Benefit $20-Aggregate ES Benefit $14600-Death Benefit $10000-Funeral $2000</t>
  </si>
  <si>
    <t>ND-Additional Aggregate Limits $10000-Weekly Maximum WL Or SL For Loss of Contributions $100</t>
  </si>
  <si>
    <t>ND-Additional Aggregate Limits $50000-Weekly Maximum WL Or SL For Loss of Contributions $200</t>
  </si>
  <si>
    <t>ND-Additional Aggregate Limits $70000-Weekly Maximum WL Or SL For Loss of Contributions $200</t>
  </si>
  <si>
    <t>ND-Additional Aggregate Limits $80000-Weekly Maximum WL Or SL For Loss of Contributions $200</t>
  </si>
  <si>
    <t>DE-Additional PIP Limits $20000</t>
  </si>
  <si>
    <t>DE-Additional PIP Limits $70000</t>
  </si>
  <si>
    <t>DE-Additional PIP Limits $270000</t>
  </si>
  <si>
    <t>TX-Total Aggregate Income Benefit $5000</t>
  </si>
  <si>
    <t>TX-Total Aggregate Income Benefit $10000</t>
  </si>
  <si>
    <t>TX-Total Aggregate Income Benefit $25000</t>
  </si>
  <si>
    <t>TX-Total Aggregate Income Benefit $50000</t>
  </si>
  <si>
    <t>TX-Total Aggregate Income Benefit $75000</t>
  </si>
  <si>
    <t>TX-Total Aggregate Income Benefit $100000</t>
  </si>
  <si>
    <t>UT-Weekly Income Benefit $300Medical Expenses $5000</t>
  </si>
  <si>
    <t>UT-Weekly Income Benefit $350Medical Expenses $10000</t>
  </si>
  <si>
    <t>Ambulatory</t>
  </si>
  <si>
    <t>Total</t>
  </si>
  <si>
    <t>Non-Emergency</t>
  </si>
  <si>
    <t>ADA Paratransit</t>
  </si>
  <si>
    <t>Emergency</t>
  </si>
  <si>
    <t>Type of Transport</t>
  </si>
  <si>
    <t>Service Provided</t>
  </si>
  <si>
    <t>Service Arrangements</t>
  </si>
  <si>
    <t>Service Type</t>
  </si>
  <si>
    <t>Special Needs</t>
  </si>
  <si>
    <t>Door Through Door</t>
  </si>
  <si>
    <t>Hand to Hand</t>
  </si>
  <si>
    <t>Pre-Scheduled</t>
  </si>
  <si>
    <t>On-Demand</t>
  </si>
  <si>
    <t>Fixed Route</t>
  </si>
  <si>
    <t>Deviated Route</t>
  </si>
  <si>
    <t>Please indicate the extent to which you transport the following as a percentage of total mileage (skip if not applicable):</t>
  </si>
  <si>
    <t>Does your company employ any EMTs?</t>
  </si>
  <si>
    <t>Are all vehicles equipped with forward facing, 4-point tie downs?</t>
  </si>
  <si>
    <t>Have all drivers been driving a similar vehicle commercially for 2+ years?</t>
  </si>
  <si>
    <t>NJ-$250000 Pedestrian PIP Limit</t>
  </si>
  <si>
    <t>1st Year Under Current Management:</t>
  </si>
  <si>
    <t>Years Under Current Management:</t>
  </si>
  <si>
    <t>Monitoring of Harsh Braking/Speeding/Accelerating via Telematics Device</t>
  </si>
  <si>
    <t>No Texting/Cell Phone/Handheld Device Usage While Driving</t>
  </si>
  <si>
    <t>Do you provide any medical care to passengers during transport?</t>
  </si>
  <si>
    <t>Do you transport passengers with a portable oxygen system?</t>
  </si>
  <si>
    <t>If you provide stretcher service, do you use knee, hip, chest, and over the shoulder safety restraints?</t>
  </si>
  <si>
    <t>Medicaid</t>
  </si>
  <si>
    <t>Workers Comp/HMOs</t>
  </si>
  <si>
    <t>Private Insurance</t>
  </si>
  <si>
    <t>Hospitals</t>
  </si>
  <si>
    <t>Revenue Sources</t>
  </si>
  <si>
    <t>Are any volunteers used in your business?</t>
  </si>
  <si>
    <t>If Y, what % of staff?</t>
  </si>
  <si>
    <t>Primary Non-Contributory Coverage?</t>
  </si>
  <si>
    <t># of additional interests?</t>
  </si>
  <si>
    <t>Private Individuals</t>
  </si>
  <si>
    <t>Social Service Agency</t>
  </si>
  <si>
    <t>School District</t>
  </si>
  <si>
    <t>Transit Authority</t>
  </si>
  <si>
    <t>Corporate/Business</t>
  </si>
  <si>
    <t>Add'l PIP limits desired (enter limit if not shown above):</t>
  </si>
  <si>
    <t>Waiver of Subrogation Required?</t>
  </si>
  <si>
    <t>Bodily Injury (Up to $5M). List full limits desired**</t>
  </si>
  <si>
    <t>Property Damage. List full limits desired**</t>
  </si>
  <si>
    <t>**Depending on risk, may only be able to quote up $1M-1.5M</t>
  </si>
  <si>
    <t>Geographic Driving History Data</t>
  </si>
  <si>
    <t>Will you be adding or deleting vehicles during the policy term?</t>
  </si>
  <si>
    <t>If Y, Please Describe:</t>
  </si>
  <si>
    <t>CASURANCE AGENCY INSURANCE SERVICES LLC</t>
  </si>
  <si>
    <t>WAEL@CASURANCE.COM</t>
  </si>
  <si>
    <t>323-546-3030</t>
  </si>
  <si>
    <t>LAST NAME</t>
  </si>
  <si>
    <t>8-6</t>
  </si>
  <si>
    <t xml:space="preserve">  </t>
  </si>
  <si>
    <t>state fund</t>
  </si>
  <si>
    <t>0</t>
  </si>
  <si>
    <t>OWNER</t>
  </si>
  <si>
    <t>N/A</t>
  </si>
  <si>
    <t>M</t>
  </si>
  <si>
    <t>NONE</t>
  </si>
  <si>
    <t xml:space="preserve">BUILT IN VEHCILE </t>
  </si>
  <si>
    <t>BUILT IN VEHICLE FEATURE</t>
  </si>
  <si>
    <t>Curb</t>
  </si>
  <si>
    <t xml:space="preserve">LimoSuine </t>
  </si>
  <si>
    <t>Pesfanhret Tesfahannes</t>
  </si>
  <si>
    <t>TESFAHAB83@GMAIL.COM</t>
  </si>
  <si>
    <t>651-278-7646</t>
  </si>
  <si>
    <t>Pesfanhret</t>
  </si>
  <si>
    <t>Tesfahannes</t>
  </si>
  <si>
    <t>Y4751449</t>
  </si>
  <si>
    <t>1GNS6FRD1SR379919</t>
  </si>
  <si>
    <t xml:space="preserve">CHEVROLET </t>
  </si>
  <si>
    <t>SUBURBAN</t>
  </si>
  <si>
    <t>SUV</t>
  </si>
  <si>
    <t>985 1/2 39th St</t>
  </si>
  <si>
    <t>Emeryville</t>
  </si>
  <si>
    <t xml:space="preserve">pending </t>
  </si>
  <si>
    <t>SFO 5%</t>
  </si>
  <si>
    <t>SAN FRANCISCO CA</t>
  </si>
  <si>
    <t>FREMONT</t>
  </si>
  <si>
    <t>SAN JOSE CA</t>
  </si>
  <si>
    <t>SAN JOSE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</si>
</sst>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_);[Red]\(&quot;$&quot;#,##0\)"/>
    <numFmt numFmtId="43" formatCode="_(* #,##0.00_);_(* \(#,##0.00\);_(* &quot;-&quot;??_);_(@_)"/>
    <numFmt numFmtId="164" formatCode="[$-409]mmm\-yy;@"/>
    <numFmt numFmtId="165" formatCode="mm/dd/yy"/>
    <numFmt numFmtId="166" formatCode="00000"/>
    <numFmt numFmtId="167" formatCode="[&lt;=9999999]###\-####;\(###\)\ ###\-####"/>
    <numFmt numFmtId="168" formatCode="_(* #,##0_);_(* \(#,##0\);_(* &quot;-&quot;??_);_(@_)"/>
    <numFmt numFmtId="169" formatCode="&quot;$&quot;#,##0"/>
    <numFmt numFmtId="170" formatCode="0.0%"/>
    <numFmt numFmtId="171" formatCode="m/d/yy;@"/>
    <numFmt numFmtId="172" formatCode="m/d/yyyy;@"/>
  </numFmts>
  <fonts count="49"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u/>
      <sz val="12"/>
      <name val="Arial"/>
      <family val="2"/>
    </font>
    <font>
      <u/>
      <sz val="10"/>
      <name val="Arial"/>
      <family val="2"/>
    </font>
    <font>
      <b/>
      <sz val="10"/>
      <name val="Arial"/>
      <family val="2"/>
    </font>
    <font>
      <i/>
      <sz val="8"/>
      <name val="Arial"/>
      <family val="2"/>
    </font>
    <font>
      <sz val="8"/>
      <name val="Arial"/>
      <family val="2"/>
    </font>
    <font>
      <b/>
      <sz val="12"/>
      <name val="Arial"/>
      <family val="2"/>
    </font>
    <font>
      <sz val="10"/>
      <color indexed="10"/>
      <name val="Arial"/>
      <family val="2"/>
    </font>
    <font>
      <b/>
      <u/>
      <sz val="10"/>
      <name val="Arial"/>
      <family val="2"/>
    </font>
    <font>
      <sz val="10"/>
      <color indexed="8"/>
      <name val="Arial"/>
      <family val="2"/>
    </font>
    <font>
      <sz val="18"/>
      <name val="Arial"/>
      <family val="2"/>
    </font>
    <font>
      <i/>
      <sz val="10"/>
      <name val="Arial"/>
      <family val="2"/>
    </font>
    <font>
      <b/>
      <sz val="9"/>
      <name val="Arial"/>
      <family val="2"/>
    </font>
    <font>
      <sz val="9"/>
      <name val="Arial"/>
      <family val="2"/>
    </font>
    <font>
      <b/>
      <sz val="18"/>
      <name val="Arial"/>
      <family val="2"/>
    </font>
    <font>
      <i/>
      <sz val="13"/>
      <name val="Times New Roman"/>
      <family val="1"/>
    </font>
    <font>
      <sz val="10"/>
      <color theme="1"/>
      <name val="Arial"/>
      <family val="2"/>
    </font>
    <font>
      <b/>
      <i/>
      <sz val="12"/>
      <name val="Arial"/>
      <family val="2"/>
    </font>
    <font>
      <u/>
      <sz val="20"/>
      <name val="Arial"/>
      <family val="2"/>
    </font>
    <font>
      <sz val="12"/>
      <name val="Arial"/>
      <family val="2"/>
    </font>
    <font>
      <b/>
      <u/>
      <sz val="14"/>
      <name val="Arial"/>
      <family val="2"/>
    </font>
    <font>
      <b/>
      <sz val="14"/>
      <name val="Arial"/>
      <family val="2"/>
    </font>
    <font>
      <sz val="11"/>
      <name val="Arial"/>
      <family val="2"/>
    </font>
    <font>
      <u/>
      <sz val="11"/>
      <name val="Arial"/>
      <family val="2"/>
    </font>
    <font>
      <sz val="11"/>
      <color theme="1"/>
      <name val="Arial"/>
      <family val="2"/>
    </font>
    <font>
      <sz val="11"/>
      <color indexed="10"/>
      <name val="Arial"/>
      <family val="2"/>
    </font>
    <font>
      <sz val="11"/>
      <color indexed="12"/>
      <name val="Arial"/>
      <family val="2"/>
    </font>
    <font>
      <b/>
      <sz val="11"/>
      <name val="Arial"/>
      <family val="2"/>
    </font>
    <font>
      <u/>
      <sz val="11"/>
      <color theme="1"/>
      <name val="Calibri"/>
      <family val="2"/>
      <scheme val="minor"/>
    </font>
    <font>
      <sz val="11"/>
      <color rgb="FF000000"/>
      <name val="Arial"/>
      <family val="2"/>
    </font>
    <font>
      <b/>
      <sz val="12"/>
      <name val="Calibri"/>
      <family val="2"/>
      <scheme val="minor"/>
    </font>
    <font>
      <sz val="12"/>
      <name val="Calibri"/>
      <family val="2"/>
      <scheme val="minor"/>
    </font>
    <font>
      <sz val="11"/>
      <name val="Calibri"/>
      <family val="2"/>
      <scheme val="minor"/>
    </font>
    <font>
      <u/>
      <sz val="11"/>
      <color theme="10"/>
      <name val="Calibri"/>
      <family val="2"/>
      <scheme val="minor"/>
    </font>
    <font>
      <sz val="11"/>
      <color rgb="FF000000"/>
      <name val="Calibri"/>
      <family val="2"/>
    </font>
    <font>
      <u/>
      <sz val="10"/>
      <color rgb="FF0000FF"/>
      <name val="Arial"/>
      <family val="2"/>
    </font>
    <font>
      <sz val="10"/>
      <color rgb="FFFF0000"/>
      <name val="Arial"/>
      <family val="2"/>
    </font>
    <font>
      <sz val="10"/>
      <name val="Comic Sans MS"/>
      <family val="4"/>
    </font>
    <font>
      <sz val="10"/>
      <color indexed="8"/>
      <name val="Comic Sans MS"/>
      <family val="4"/>
    </font>
    <font>
      <sz val="12"/>
      <color theme="1"/>
      <name val="Arial"/>
      <family val="2"/>
    </font>
    <font>
      <sz val="9"/>
      <color rgb="FF000000"/>
      <name val="Arial"/>
      <family val="2"/>
    </font>
    <font>
      <sz val="16"/>
      <color indexed="8"/>
      <name val="Arial"/>
      <family val="2"/>
    </font>
    <font>
      <sz val="16"/>
      <color indexed="8"/>
      <name val="Times New Roman"/>
      <family val="2"/>
    </font>
    <font>
      <b/>
      <sz val="16"/>
      <color indexed="8"/>
      <name val="Times New Roman"/>
      <family val="2"/>
    </font>
    <font>
      <sz val="8"/>
      <color rgb="FF000000"/>
      <name val="Arial"/>
      <family val="2"/>
    </font>
    <font>
      <sz val="12"/>
      <color theme="1"/>
      <name val="Aptos"/>
      <family val="2"/>
    </font>
  </fonts>
  <fills count="13">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lightUp"/>
    </fill>
    <fill>
      <patternFill patternType="lightUp">
        <bgColor theme="4" tint="0.79998168889431442"/>
      </patternFill>
    </fill>
    <fill>
      <patternFill patternType="solid">
        <fgColor theme="3" tint="0.79998168889431442"/>
        <bgColor indexed="64"/>
      </patternFill>
    </fill>
    <fill>
      <patternFill patternType="solid">
        <fgColor rgb="FF92D050"/>
        <bgColor indexed="64"/>
      </patternFill>
    </fill>
    <fill>
      <patternFill patternType="solid">
        <fgColor rgb="FFFFC000"/>
        <bgColor indexed="64"/>
      </patternFill>
    </fill>
    <fill>
      <patternFill patternType="solid">
        <fgColor theme="0"/>
        <bgColor indexed="64"/>
      </patternFill>
    </fill>
  </fills>
  <borders count="47">
    <border>
      <left/>
      <right/>
      <top/>
      <bottom/>
      <diagonal/>
    </border>
    <border>
      <left/>
      <right/>
      <top/>
      <bottom style="thin">
        <color indexed="64"/>
      </bottom>
      <diagonal/>
    </border>
    <border>
      <left/>
      <right/>
      <top style="thin">
        <color auto="1"/>
      </top>
      <bottom style="thin">
        <color auto="1"/>
      </bottom>
      <diagonal/>
    </border>
    <border>
      <left/>
      <right/>
      <top/>
      <bottom style="medium">
        <color auto="1"/>
      </bottom>
      <diagonal/>
    </border>
    <border>
      <left/>
      <right/>
      <top style="medium">
        <color auto="1"/>
      </top>
      <bottom style="medium">
        <color auto="1"/>
      </bottom>
      <diagonal/>
    </border>
    <border>
      <left/>
      <right/>
      <top style="medium">
        <color indexed="64"/>
      </top>
      <bottom style="thin">
        <color indexed="64"/>
      </bottom>
      <diagonal/>
    </border>
    <border>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top style="thin">
        <color indexed="64"/>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auto="1"/>
      </left>
      <right/>
      <top/>
      <bottom/>
      <diagonal/>
    </border>
    <border>
      <left/>
      <right style="medium">
        <color auto="1"/>
      </right>
      <top/>
      <bottom/>
      <diagonal/>
    </border>
    <border>
      <left style="medium">
        <color indexed="64"/>
      </left>
      <right/>
      <top/>
      <bottom style="thin">
        <color indexed="64"/>
      </bottom>
      <diagonal/>
    </border>
    <border>
      <left style="thin">
        <color auto="1"/>
      </left>
      <right/>
      <top/>
      <bottom/>
      <diagonal/>
    </border>
    <border>
      <left style="medium">
        <color auto="1"/>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bottom/>
      <diagonal/>
    </border>
    <border>
      <left/>
      <right style="thin">
        <color auto="1"/>
      </right>
      <top style="thin">
        <color auto="1"/>
      </top>
      <bottom/>
      <diagonal/>
    </border>
    <border>
      <left style="thin">
        <color indexed="64"/>
      </left>
      <right/>
      <top/>
      <bottom style="thin">
        <color indexed="64"/>
      </bottom>
      <diagonal/>
    </border>
    <border>
      <left/>
      <right style="medium">
        <color indexed="64"/>
      </right>
      <top/>
      <bottom style="thin">
        <color indexed="64"/>
      </bottom>
      <diagonal/>
    </border>
    <border>
      <left style="thin">
        <color auto="1"/>
      </left>
      <right style="thin">
        <color auto="1"/>
      </right>
      <top style="thin">
        <color auto="1"/>
      </top>
      <bottom/>
      <diagonal/>
    </border>
    <border>
      <left style="thin">
        <color indexed="64"/>
      </left>
      <right style="medium">
        <color indexed="64"/>
      </right>
      <top style="thin">
        <color indexed="64"/>
      </top>
      <bottom style="thin">
        <color indexed="64"/>
      </bottom>
      <diagonal/>
    </border>
    <border>
      <left style="thin">
        <color auto="1"/>
      </left>
      <right style="thin">
        <color auto="1"/>
      </right>
      <top/>
      <bottom/>
      <diagonal/>
    </border>
    <border>
      <left/>
      <right/>
      <top style="thin">
        <color theme="6" tint="-0.249977111117893"/>
      </top>
      <bottom/>
      <diagonal/>
    </border>
    <border>
      <left/>
      <right/>
      <top/>
      <bottom style="thin">
        <color theme="6" tint="0.39997558519241921"/>
      </bottom>
      <diagonal/>
    </border>
    <border>
      <left/>
      <right/>
      <top/>
      <bottom style="thin">
        <color theme="6" tint="0.79998168889431442"/>
      </bottom>
      <diagonal/>
    </border>
    <border>
      <left/>
      <right/>
      <top style="thin">
        <color theme="6" tint="0.39997558519241921"/>
      </top>
      <bottom style="thin">
        <color theme="6" tint="0.39997558519241921"/>
      </bottom>
      <diagonal/>
    </border>
    <border>
      <left/>
      <right/>
      <top style="thin">
        <color theme="6" tint="0.79998168889431442"/>
      </top>
      <bottom style="thin">
        <color theme="6" tint="0.79998168889431442"/>
      </bottom>
      <diagonal/>
    </border>
    <border>
      <left/>
      <right/>
      <top style="thin">
        <color theme="6" tint="0.39997558519241921"/>
      </top>
      <bottom style="thin">
        <color theme="6" tint="0.79998168889431442"/>
      </bottom>
      <diagonal/>
    </border>
    <border>
      <left/>
      <right/>
      <top style="thin">
        <color theme="6" tint="0.79998168889431442"/>
      </top>
      <bottom style="thin">
        <color theme="6" tint="0.39997558519241921"/>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auto="1"/>
      </top>
      <bottom style="medium">
        <color indexed="64"/>
      </bottom>
      <diagonal/>
    </border>
    <border>
      <left style="thin">
        <color rgb="FF3F3F3F"/>
      </left>
      <right style="thin">
        <color rgb="FF3F3F3F"/>
      </right>
      <top style="thin">
        <color rgb="FF3F3F3F"/>
      </top>
      <bottom style="thin">
        <color rgb="FF3F3F3F"/>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3F3F3F"/>
      </right>
      <top style="thin">
        <color rgb="FF3F3F3F"/>
      </top>
      <bottom style="thin">
        <color rgb="FF3F3F3F"/>
      </bottom>
      <diagonal/>
    </border>
    <border>
      <left style="thin">
        <color rgb="FF000000"/>
      </left>
      <right style="thin">
        <color rgb="FF000000"/>
      </right>
      <top/>
      <bottom style="thin">
        <color rgb="FF000000"/>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xf numFmtId="43" fontId="3" fillId="0" borderId="0" applyFont="0" applyFill="0" applyBorder="0" applyAlignment="0" applyProtection="0"/>
    <xf numFmtId="0" fontId="36" fillId="0" borderId="0" applyNumberFormat="0" applyFill="0" applyBorder="0" applyAlignment="0" applyProtection="0"/>
    <xf numFmtId="0" fontId="12" fillId="0" borderId="0"/>
  </cellStyleXfs>
  <cellXfs count="681">
    <xf numFmtId="0" fontId="0" fillId="0" borderId="0" xfId="0"/>
    <xf numFmtId="0" fontId="4" fillId="0" borderId="0" xfId="3" applyFont="1"/>
    <xf numFmtId="0" fontId="3" fillId="0" borderId="0" xfId="3"/>
    <xf numFmtId="0" fontId="3" fillId="0" borderId="0" xfId="3" applyAlignment="1">
      <alignment horizontal="right"/>
    </xf>
    <xf numFmtId="164" fontId="3" fillId="0" borderId="0" xfId="3" applyNumberFormat="1"/>
    <xf numFmtId="0" fontId="3" fillId="0" borderId="0" xfId="3" applyProtection="1">
      <protection locked="0"/>
    </xf>
    <xf numFmtId="0" fontId="3" fillId="0" borderId="0" xfId="3" applyAlignment="1" applyProtection="1">
      <alignment horizontal="center"/>
      <protection locked="0"/>
    </xf>
    <xf numFmtId="0" fontId="3" fillId="0" borderId="3" xfId="3" applyBorder="1"/>
    <xf numFmtId="164" fontId="3" fillId="0" borderId="3" xfId="3" applyNumberFormat="1" applyBorder="1"/>
    <xf numFmtId="0" fontId="4" fillId="0" borderId="4" xfId="3" applyFont="1" applyBorder="1"/>
    <xf numFmtId="0" fontId="3" fillId="0" borderId="4" xfId="3" applyBorder="1"/>
    <xf numFmtId="0" fontId="6" fillId="0" borderId="0" xfId="3" applyFont="1"/>
    <xf numFmtId="0" fontId="3" fillId="0" borderId="0" xfId="3" applyAlignment="1">
      <alignment horizontal="left"/>
    </xf>
    <xf numFmtId="1" fontId="3" fillId="0" borderId="2" xfId="3" applyNumberFormat="1" applyBorder="1" applyAlignment="1" applyProtection="1">
      <alignment horizontal="center"/>
      <protection locked="0"/>
    </xf>
    <xf numFmtId="1" fontId="3" fillId="0" borderId="0" xfId="3" applyNumberFormat="1" applyAlignment="1" applyProtection="1">
      <alignment horizontal="center"/>
      <protection locked="0"/>
    </xf>
    <xf numFmtId="0" fontId="6" fillId="0" borderId="0" xfId="3" applyFont="1" applyAlignment="1">
      <alignment horizontal="left"/>
    </xf>
    <xf numFmtId="9" fontId="3" fillId="0" borderId="0" xfId="3" applyNumberFormat="1" applyAlignment="1" applyProtection="1">
      <alignment horizontal="center"/>
      <protection locked="0"/>
    </xf>
    <xf numFmtId="9" fontId="3" fillId="0" borderId="0" xfId="3" applyNumberFormat="1"/>
    <xf numFmtId="0" fontId="3" fillId="0" borderId="0" xfId="3" applyAlignment="1">
      <alignment wrapText="1"/>
    </xf>
    <xf numFmtId="0" fontId="3" fillId="0" borderId="0" xfId="3" applyAlignment="1">
      <alignment shrinkToFit="1"/>
    </xf>
    <xf numFmtId="0" fontId="3" fillId="0" borderId="0" xfId="3" applyAlignment="1" applyProtection="1">
      <alignment shrinkToFit="1"/>
      <protection locked="0"/>
    </xf>
    <xf numFmtId="0" fontId="7" fillId="0" borderId="0" xfId="3" applyFont="1" applyAlignment="1">
      <alignment vertical="top"/>
    </xf>
    <xf numFmtId="0" fontId="3" fillId="0" borderId="0" xfId="3" applyAlignment="1">
      <alignment horizontal="center" shrinkToFit="1"/>
    </xf>
    <xf numFmtId="166" fontId="3" fillId="0" borderId="0" xfId="3" applyNumberFormat="1" applyAlignment="1">
      <alignment horizontal="center"/>
    </xf>
    <xf numFmtId="0" fontId="6" fillId="0" borderId="0" xfId="3" applyFont="1" applyAlignment="1">
      <alignment shrinkToFit="1"/>
    </xf>
    <xf numFmtId="0" fontId="8" fillId="0" borderId="0" xfId="3" applyFont="1" applyAlignment="1">
      <alignment vertical="top"/>
    </xf>
    <xf numFmtId="0" fontId="8" fillId="0" borderId="0" xfId="3" applyFont="1" applyAlignment="1">
      <alignment horizontal="left" vertical="top"/>
    </xf>
    <xf numFmtId="167" fontId="3" fillId="0" borderId="0" xfId="3" applyNumberFormat="1" applyAlignment="1">
      <alignment horizontal="right" shrinkToFit="1"/>
    </xf>
    <xf numFmtId="167" fontId="3" fillId="0" borderId="0" xfId="3" applyNumberFormat="1" applyAlignment="1">
      <alignment shrinkToFit="1"/>
    </xf>
    <xf numFmtId="0" fontId="3" fillId="0" borderId="6" xfId="3" applyBorder="1" applyAlignment="1">
      <alignment horizontal="center"/>
    </xf>
    <xf numFmtId="0" fontId="3" fillId="2" borderId="8" xfId="3" applyFill="1" applyBorder="1" applyAlignment="1" applyProtection="1">
      <alignment horizontal="center"/>
      <protection locked="0"/>
    </xf>
    <xf numFmtId="0" fontId="3" fillId="0" borderId="1" xfId="3" applyBorder="1" applyAlignment="1" applyProtection="1">
      <alignment horizontal="left" shrinkToFit="1"/>
      <protection locked="0"/>
    </xf>
    <xf numFmtId="0" fontId="3" fillId="0" borderId="0" xfId="3" applyAlignment="1">
      <alignment horizontal="right" shrinkToFit="1"/>
    </xf>
    <xf numFmtId="0" fontId="3" fillId="0" borderId="0" xfId="3" applyAlignment="1">
      <alignment wrapText="1" shrinkToFit="1"/>
    </xf>
    <xf numFmtId="0" fontId="3" fillId="0" borderId="0" xfId="3" applyAlignment="1">
      <alignment horizontal="right" wrapText="1" shrinkToFit="1"/>
    </xf>
    <xf numFmtId="0" fontId="3" fillId="0" borderId="0" xfId="3" applyAlignment="1">
      <alignment horizontal="left" wrapText="1" shrinkToFit="1"/>
    </xf>
    <xf numFmtId="0" fontId="3" fillId="5" borderId="7" xfId="3" applyFill="1" applyBorder="1"/>
    <xf numFmtId="0" fontId="3" fillId="5" borderId="2" xfId="3" applyFill="1" applyBorder="1"/>
    <xf numFmtId="0" fontId="3" fillId="0" borderId="2" xfId="3" applyBorder="1" applyProtection="1">
      <protection locked="0"/>
    </xf>
    <xf numFmtId="0" fontId="3" fillId="0" borderId="6" xfId="3" applyBorder="1" applyProtection="1">
      <protection locked="0"/>
    </xf>
    <xf numFmtId="0" fontId="3" fillId="0" borderId="0" xfId="3" applyAlignment="1" applyProtection="1">
      <alignment wrapText="1"/>
      <protection locked="0"/>
    </xf>
    <xf numFmtId="0" fontId="3" fillId="0" borderId="0" xfId="3" applyAlignment="1">
      <alignment vertical="top" shrinkToFit="1"/>
    </xf>
    <xf numFmtId="3" fontId="3" fillId="0" borderId="0" xfId="3" applyNumberFormat="1" applyAlignment="1" applyProtection="1">
      <alignment horizontal="center"/>
      <protection locked="0"/>
    </xf>
    <xf numFmtId="0" fontId="3" fillId="0" borderId="0" xfId="3" applyAlignment="1">
      <alignment horizontal="center"/>
    </xf>
    <xf numFmtId="0" fontId="10" fillId="0" borderId="0" xfId="3" applyFont="1" applyAlignment="1">
      <alignment horizontal="center"/>
    </xf>
    <xf numFmtId="0" fontId="6" fillId="0" borderId="0" xfId="3" applyFont="1" applyAlignment="1">
      <alignment horizontal="center"/>
    </xf>
    <xf numFmtId="9" fontId="3" fillId="2" borderId="9" xfId="3" applyNumberFormat="1" applyFill="1" applyBorder="1" applyAlignment="1" applyProtection="1">
      <alignment horizontal="center"/>
      <protection locked="0"/>
    </xf>
    <xf numFmtId="9" fontId="3" fillId="0" borderId="0" xfId="3" applyNumberFormat="1" applyAlignment="1">
      <alignment horizontal="center"/>
    </xf>
    <xf numFmtId="9" fontId="3" fillId="2" borderId="10" xfId="3" applyNumberFormat="1" applyFill="1" applyBorder="1" applyAlignment="1" applyProtection="1">
      <alignment horizontal="center"/>
      <protection locked="0"/>
    </xf>
    <xf numFmtId="0" fontId="3" fillId="0" borderId="2" xfId="3" applyBorder="1"/>
    <xf numFmtId="9" fontId="3" fillId="0" borderId="6" xfId="3" applyNumberFormat="1" applyBorder="1" applyAlignment="1">
      <alignment horizontal="center"/>
    </xf>
    <xf numFmtId="0" fontId="3" fillId="3" borderId="2" xfId="3" applyFill="1" applyBorder="1" applyAlignment="1" applyProtection="1">
      <alignment horizontal="left" vertical="top" wrapText="1"/>
      <protection locked="0"/>
    </xf>
    <xf numFmtId="0" fontId="3" fillId="0" borderId="0" xfId="3" applyAlignment="1">
      <alignment horizontal="left" vertical="top" wrapText="1"/>
    </xf>
    <xf numFmtId="49" fontId="3" fillId="0" borderId="0" xfId="3" applyNumberFormat="1" applyAlignment="1">
      <alignment horizontal="left" vertical="center" wrapText="1"/>
    </xf>
    <xf numFmtId="0" fontId="3" fillId="0" borderId="0" xfId="3" applyAlignment="1" applyProtection="1">
      <alignment horizontal="left" vertical="top" wrapText="1"/>
      <protection locked="0"/>
    </xf>
    <xf numFmtId="49" fontId="6" fillId="0" borderId="0" xfId="3" applyNumberFormat="1" applyFont="1" applyAlignment="1">
      <alignment horizontal="left" vertical="center"/>
    </xf>
    <xf numFmtId="49" fontId="5" fillId="3" borderId="0" xfId="3" applyNumberFormat="1" applyFont="1" applyFill="1" applyAlignment="1">
      <alignment horizontal="left" vertical="center" wrapText="1"/>
    </xf>
    <xf numFmtId="0" fontId="11" fillId="0" borderId="0" xfId="3" applyFont="1" applyAlignment="1">
      <alignment horizontal="left"/>
    </xf>
    <xf numFmtId="0" fontId="3" fillId="0" borderId="0" xfId="3" applyAlignment="1" applyProtection="1">
      <alignment horizontal="left"/>
      <protection locked="0"/>
    </xf>
    <xf numFmtId="0" fontId="3" fillId="2" borderId="1" xfId="3" applyFill="1" applyBorder="1"/>
    <xf numFmtId="0" fontId="6" fillId="0" borderId="0" xfId="3" applyFont="1" applyAlignment="1">
      <alignment wrapText="1"/>
    </xf>
    <xf numFmtId="0" fontId="3" fillId="0" borderId="1" xfId="3" applyBorder="1" applyAlignment="1">
      <alignment horizontal="left" vertical="top"/>
    </xf>
    <xf numFmtId="0" fontId="6" fillId="9" borderId="9" xfId="3" applyFont="1" applyFill="1" applyBorder="1" applyAlignment="1">
      <alignment horizontal="center"/>
    </xf>
    <xf numFmtId="9" fontId="3" fillId="2" borderId="10" xfId="3" applyNumberFormat="1" applyFill="1" applyBorder="1" applyAlignment="1">
      <alignment horizontal="center"/>
    </xf>
    <xf numFmtId="9" fontId="3" fillId="2" borderId="10" xfId="3" applyNumberFormat="1" applyFill="1" applyBorder="1" applyAlignment="1" applyProtection="1">
      <alignment horizontal="center" wrapText="1"/>
      <protection locked="0"/>
    </xf>
    <xf numFmtId="9" fontId="3" fillId="2" borderId="9" xfId="3" applyNumberFormat="1" applyFill="1" applyBorder="1" applyAlignment="1" applyProtection="1">
      <alignment horizontal="center" wrapText="1"/>
      <protection locked="0"/>
    </xf>
    <xf numFmtId="0" fontId="5" fillId="2" borderId="1" xfId="3" applyFont="1" applyFill="1" applyBorder="1" applyProtection="1">
      <protection locked="0"/>
    </xf>
    <xf numFmtId="0" fontId="5" fillId="0" borderId="0" xfId="3" applyFont="1"/>
    <xf numFmtId="49" fontId="3" fillId="0" borderId="0" xfId="3" applyNumberFormat="1" applyAlignment="1" applyProtection="1">
      <alignment horizontal="center"/>
      <protection locked="0"/>
    </xf>
    <xf numFmtId="9" fontId="3" fillId="2" borderId="1" xfId="3" applyNumberFormat="1" applyFill="1" applyBorder="1" applyAlignment="1" applyProtection="1">
      <alignment horizontal="center"/>
      <protection locked="0"/>
    </xf>
    <xf numFmtId="0" fontId="3" fillId="2" borderId="0" xfId="3" applyFill="1" applyAlignment="1" applyProtection="1">
      <alignment horizontal="center"/>
      <protection locked="0"/>
    </xf>
    <xf numFmtId="0" fontId="3" fillId="0" borderId="6" xfId="3" applyBorder="1" applyAlignment="1" applyProtection="1">
      <alignment horizontal="center"/>
      <protection locked="0"/>
    </xf>
    <xf numFmtId="0" fontId="6" fillId="0" borderId="0" xfId="3" applyFont="1" applyProtection="1">
      <protection locked="0"/>
    </xf>
    <xf numFmtId="0" fontId="3" fillId="2" borderId="12" xfId="3" applyFill="1" applyBorder="1" applyAlignment="1" applyProtection="1">
      <alignment horizontal="center"/>
      <protection locked="0"/>
    </xf>
    <xf numFmtId="0" fontId="4" fillId="0" borderId="13" xfId="3" applyFont="1" applyBorder="1"/>
    <xf numFmtId="0" fontId="3" fillId="0" borderId="14" xfId="3" applyBorder="1"/>
    <xf numFmtId="165" fontId="3" fillId="0" borderId="14" xfId="3" applyNumberFormat="1" applyBorder="1" applyAlignment="1" applyProtection="1">
      <alignment horizontal="center"/>
      <protection locked="0"/>
    </xf>
    <xf numFmtId="165" fontId="3" fillId="0" borderId="14" xfId="3" applyNumberFormat="1" applyBorder="1" applyAlignment="1">
      <alignment horizontal="center"/>
    </xf>
    <xf numFmtId="165" fontId="3" fillId="0" borderId="15" xfId="3" applyNumberFormat="1" applyBorder="1" applyAlignment="1">
      <alignment horizontal="center"/>
    </xf>
    <xf numFmtId="0" fontId="4" fillId="0" borderId="16" xfId="3" applyFont="1" applyBorder="1"/>
    <xf numFmtId="165" fontId="3" fillId="0" borderId="0" xfId="3" applyNumberFormat="1" applyAlignment="1" applyProtection="1">
      <alignment horizontal="center"/>
      <protection locked="0"/>
    </xf>
    <xf numFmtId="14" fontId="3" fillId="0" borderId="0" xfId="3" applyNumberFormat="1" applyAlignment="1" applyProtection="1">
      <alignment horizontal="center"/>
      <protection locked="0"/>
    </xf>
    <xf numFmtId="165" fontId="3" fillId="0" borderId="0" xfId="3" applyNumberFormat="1" applyAlignment="1">
      <alignment horizontal="center"/>
    </xf>
    <xf numFmtId="165" fontId="3" fillId="0" borderId="17" xfId="3" applyNumberFormat="1" applyBorder="1" applyAlignment="1">
      <alignment horizontal="center"/>
    </xf>
    <xf numFmtId="0" fontId="8" fillId="0" borderId="18" xfId="3" applyFont="1" applyBorder="1" applyAlignment="1">
      <alignment vertical="top"/>
    </xf>
    <xf numFmtId="0" fontId="8" fillId="0" borderId="1" xfId="3" applyFont="1" applyBorder="1" applyAlignment="1">
      <alignment vertical="top"/>
    </xf>
    <xf numFmtId="0" fontId="3" fillId="0" borderId="17" xfId="3" applyBorder="1"/>
    <xf numFmtId="0" fontId="3" fillId="0" borderId="0" xfId="3" applyAlignment="1">
      <alignment vertical="center"/>
    </xf>
    <xf numFmtId="169" fontId="12" fillId="0" borderId="0" xfId="3" applyNumberFormat="1" applyFont="1" applyAlignment="1" applyProtection="1">
      <alignment horizontal="center" shrinkToFit="1"/>
      <protection locked="0"/>
    </xf>
    <xf numFmtId="169" fontId="3" fillId="0" borderId="0" xfId="3" applyNumberFormat="1" applyAlignment="1">
      <alignment horizontal="center"/>
    </xf>
    <xf numFmtId="0" fontId="3" fillId="0" borderId="16" xfId="3" applyBorder="1" applyAlignment="1">
      <alignment horizontal="left"/>
    </xf>
    <xf numFmtId="0" fontId="3" fillId="0" borderId="16" xfId="3" applyBorder="1"/>
    <xf numFmtId="0" fontId="3" fillId="0" borderId="20" xfId="3" applyBorder="1"/>
    <xf numFmtId="0" fontId="3" fillId="0" borderId="21" xfId="3" applyBorder="1"/>
    <xf numFmtId="49" fontId="3" fillId="0" borderId="0" xfId="3" applyNumberFormat="1" applyAlignment="1">
      <alignment horizontal="center"/>
    </xf>
    <xf numFmtId="0" fontId="9" fillId="0" borderId="13" xfId="3" applyFont="1" applyBorder="1" applyAlignment="1">
      <alignment horizontal="left"/>
    </xf>
    <xf numFmtId="0" fontId="9" fillId="0" borderId="14" xfId="3" applyFont="1" applyBorder="1" applyAlignment="1">
      <alignment horizontal="left"/>
    </xf>
    <xf numFmtId="0" fontId="3" fillId="0" borderId="15" xfId="3" applyBorder="1"/>
    <xf numFmtId="0" fontId="3" fillId="5" borderId="9" xfId="3" applyFill="1" applyBorder="1" applyAlignment="1">
      <alignment horizontal="left"/>
    </xf>
    <xf numFmtId="0" fontId="8" fillId="0" borderId="0" xfId="3" applyFont="1" applyAlignment="1" applyProtection="1">
      <alignment horizontal="center"/>
      <protection locked="0"/>
    </xf>
    <xf numFmtId="0" fontId="3" fillId="0" borderId="23" xfId="3" applyBorder="1" applyProtection="1">
      <protection locked="0"/>
    </xf>
    <xf numFmtId="0" fontId="3" fillId="2" borderId="9" xfId="3" applyFill="1" applyBorder="1" applyAlignment="1">
      <alignment horizontal="left"/>
    </xf>
    <xf numFmtId="0" fontId="3" fillId="5" borderId="7" xfId="3" applyFill="1" applyBorder="1" applyAlignment="1">
      <alignment horizontal="left"/>
    </xf>
    <xf numFmtId="0" fontId="3" fillId="5" borderId="8" xfId="3" applyFill="1" applyBorder="1" applyAlignment="1">
      <alignment horizontal="left"/>
    </xf>
    <xf numFmtId="0" fontId="3" fillId="0" borderId="17" xfId="3" applyBorder="1" applyAlignment="1">
      <alignment horizontal="left"/>
    </xf>
    <xf numFmtId="0" fontId="16" fillId="0" borderId="0" xfId="3" applyFont="1" applyAlignment="1">
      <alignment horizontal="left"/>
    </xf>
    <xf numFmtId="0" fontId="16" fillId="0" borderId="0" xfId="3" applyFont="1"/>
    <xf numFmtId="0" fontId="3" fillId="0" borderId="24" xfId="3" applyBorder="1" applyProtection="1">
      <protection locked="0"/>
    </xf>
    <xf numFmtId="0" fontId="3" fillId="2" borderId="0" xfId="3" applyFill="1"/>
    <xf numFmtId="0" fontId="3" fillId="2" borderId="0" xfId="3" applyFill="1" applyProtection="1">
      <protection locked="0"/>
    </xf>
    <xf numFmtId="0" fontId="3" fillId="0" borderId="25" xfId="3" applyBorder="1"/>
    <xf numFmtId="0" fontId="3" fillId="0" borderId="1" xfId="3" applyBorder="1"/>
    <xf numFmtId="0" fontId="3" fillId="0" borderId="1" xfId="3" applyBorder="1" applyProtection="1">
      <protection locked="0"/>
    </xf>
    <xf numFmtId="0" fontId="3" fillId="0" borderId="12" xfId="3" applyBorder="1" applyProtection="1">
      <protection locked="0"/>
    </xf>
    <xf numFmtId="0" fontId="3" fillId="0" borderId="3" xfId="3" applyBorder="1" applyAlignment="1">
      <alignment horizontal="left"/>
    </xf>
    <xf numFmtId="0" fontId="3" fillId="0" borderId="21" xfId="3" applyBorder="1" applyAlignment="1">
      <alignment horizontal="left"/>
    </xf>
    <xf numFmtId="0" fontId="6" fillId="0" borderId="20" xfId="3" applyFont="1" applyBorder="1" applyAlignment="1">
      <alignment horizontal="left"/>
    </xf>
    <xf numFmtId="0" fontId="16" fillId="0" borderId="3" xfId="3" applyFont="1" applyBorder="1"/>
    <xf numFmtId="0" fontId="3" fillId="0" borderId="14" xfId="3" applyBorder="1" applyAlignment="1">
      <alignment horizontal="left"/>
    </xf>
    <xf numFmtId="0" fontId="3" fillId="2" borderId="26" xfId="3" applyFill="1" applyBorder="1" applyAlignment="1" applyProtection="1">
      <alignment horizontal="center"/>
      <protection locked="0"/>
    </xf>
    <xf numFmtId="0" fontId="3" fillId="2" borderId="3" xfId="3" applyFill="1" applyBorder="1" applyAlignment="1" applyProtection="1">
      <alignment horizontal="center"/>
      <protection locked="0"/>
    </xf>
    <xf numFmtId="0" fontId="3" fillId="2" borderId="21" xfId="3" applyFill="1" applyBorder="1" applyAlignment="1" applyProtection="1">
      <alignment horizontal="center"/>
      <protection locked="0"/>
    </xf>
    <xf numFmtId="0" fontId="6" fillId="0" borderId="19" xfId="3" applyFont="1" applyBorder="1" applyAlignment="1">
      <alignment horizontal="center"/>
    </xf>
    <xf numFmtId="0" fontId="3" fillId="2" borderId="9" xfId="0" applyFont="1" applyFill="1" applyBorder="1" applyAlignment="1" applyProtection="1">
      <alignment horizontal="center"/>
      <protection locked="0"/>
    </xf>
    <xf numFmtId="9" fontId="3" fillId="2" borderId="9" xfId="2" applyFont="1" applyFill="1" applyBorder="1" applyAlignment="1" applyProtection="1">
      <alignment horizontal="center"/>
      <protection locked="0"/>
    </xf>
    <xf numFmtId="0" fontId="3" fillId="0" borderId="0" xfId="3" applyAlignment="1">
      <alignment horizontal="center" wrapText="1"/>
    </xf>
    <xf numFmtId="0" fontId="3" fillId="2" borderId="9" xfId="3" applyFill="1" applyBorder="1" applyAlignment="1" applyProtection="1">
      <alignment horizontal="center"/>
      <protection locked="0"/>
    </xf>
    <xf numFmtId="0" fontId="3" fillId="0" borderId="24" xfId="3" applyBorder="1" applyAlignment="1">
      <alignment wrapText="1"/>
    </xf>
    <xf numFmtId="0" fontId="3" fillId="0" borderId="23" xfId="3" applyBorder="1"/>
    <xf numFmtId="0" fontId="3" fillId="0" borderId="23" xfId="3" applyBorder="1" applyAlignment="1">
      <alignment wrapText="1"/>
    </xf>
    <xf numFmtId="0" fontId="3" fillId="0" borderId="1" xfId="3" applyBorder="1" applyAlignment="1">
      <alignment shrinkToFit="1"/>
    </xf>
    <xf numFmtId="0" fontId="3" fillId="0" borderId="12" xfId="3" applyBorder="1" applyAlignment="1">
      <alignment shrinkToFit="1"/>
    </xf>
    <xf numFmtId="0" fontId="3" fillId="0" borderId="19" xfId="3" applyBorder="1" applyAlignment="1">
      <alignment horizontal="left"/>
    </xf>
    <xf numFmtId="0" fontId="3" fillId="2" borderId="7" xfId="3" applyFill="1" applyBorder="1" applyAlignment="1" applyProtection="1">
      <alignment horizontal="left" vertical="top" wrapText="1" shrinkToFit="1"/>
      <protection locked="0"/>
    </xf>
    <xf numFmtId="0" fontId="3" fillId="2" borderId="2" xfId="3" applyFill="1" applyBorder="1" applyAlignment="1" applyProtection="1">
      <alignment horizontal="left" vertical="top" wrapText="1" shrinkToFit="1"/>
      <protection locked="0"/>
    </xf>
    <xf numFmtId="0" fontId="3" fillId="2" borderId="8" xfId="3" applyFill="1" applyBorder="1" applyAlignment="1" applyProtection="1">
      <alignment horizontal="left" vertical="top" wrapText="1" shrinkToFit="1"/>
      <protection locked="0"/>
    </xf>
    <xf numFmtId="0" fontId="3" fillId="0" borderId="0" xfId="3" applyAlignment="1" applyProtection="1">
      <alignment horizontal="left" vertical="top" wrapText="1" shrinkToFit="1"/>
      <protection locked="0"/>
    </xf>
    <xf numFmtId="0" fontId="3" fillId="0" borderId="0" xfId="3" applyAlignment="1" applyProtection="1">
      <alignment horizontal="left" vertical="top" shrinkToFit="1"/>
      <protection locked="0"/>
    </xf>
    <xf numFmtId="0" fontId="3" fillId="2" borderId="27" xfId="3" applyFill="1" applyBorder="1" applyAlignment="1" applyProtection="1">
      <alignment horizontal="center"/>
      <protection locked="0"/>
    </xf>
    <xf numFmtId="0" fontId="3" fillId="0" borderId="19" xfId="3" applyBorder="1"/>
    <xf numFmtId="0" fontId="3" fillId="2" borderId="10" xfId="3" applyFill="1" applyBorder="1" applyAlignment="1" applyProtection="1">
      <alignment horizontal="center"/>
      <protection locked="0"/>
    </xf>
    <xf numFmtId="0" fontId="6" fillId="0" borderId="0" xfId="3" applyFont="1" applyAlignment="1">
      <alignment horizontal="left" wrapText="1" shrinkToFit="1"/>
    </xf>
    <xf numFmtId="0" fontId="6" fillId="0" borderId="0" xfId="3" applyFont="1" applyAlignment="1">
      <alignment wrapText="1" shrinkToFit="1"/>
    </xf>
    <xf numFmtId="0" fontId="3" fillId="2" borderId="7" xfId="3" applyFill="1" applyBorder="1" applyAlignment="1" applyProtection="1">
      <alignment horizontal="left" vertical="top" wrapText="1"/>
      <protection locked="0"/>
    </xf>
    <xf numFmtId="0" fontId="3" fillId="2" borderId="2" xfId="3" applyFill="1" applyBorder="1" applyAlignment="1" applyProtection="1">
      <alignment horizontal="left" vertical="top" wrapText="1"/>
      <protection locked="0"/>
    </xf>
    <xf numFmtId="0" fontId="3" fillId="2" borderId="8" xfId="3" applyFill="1" applyBorder="1" applyAlignment="1" applyProtection="1">
      <alignment horizontal="left" vertical="top" wrapText="1"/>
      <protection locked="0"/>
    </xf>
    <xf numFmtId="0" fontId="3" fillId="0" borderId="23" xfId="3" applyBorder="1" applyAlignment="1">
      <alignment vertical="center"/>
    </xf>
    <xf numFmtId="0" fontId="3" fillId="0" borderId="0" xfId="3" applyAlignment="1">
      <alignment horizontal="left" vertical="top"/>
    </xf>
    <xf numFmtId="0" fontId="3" fillId="0" borderId="0" xfId="3" applyAlignment="1">
      <alignment vertical="top" wrapText="1"/>
    </xf>
    <xf numFmtId="0" fontId="3" fillId="0" borderId="3" xfId="3" applyBorder="1" applyAlignment="1">
      <alignment horizontal="left" vertical="top"/>
    </xf>
    <xf numFmtId="0" fontId="3" fillId="0" borderId="3" xfId="3" applyBorder="1" applyAlignment="1">
      <alignment vertical="top" wrapText="1"/>
    </xf>
    <xf numFmtId="0" fontId="3" fillId="0" borderId="14" xfId="3" applyBorder="1" applyAlignment="1">
      <alignment vertical="top" wrapText="1"/>
    </xf>
    <xf numFmtId="0" fontId="3" fillId="0" borderId="16" xfId="3" applyBorder="1" applyAlignment="1">
      <alignment horizontal="left" vertical="top"/>
    </xf>
    <xf numFmtId="0" fontId="18" fillId="0" borderId="0" xfId="3" applyFont="1"/>
    <xf numFmtId="0" fontId="0" fillId="0" borderId="16" xfId="0" applyBorder="1"/>
    <xf numFmtId="0" fontId="0" fillId="0" borderId="17" xfId="0" applyBorder="1"/>
    <xf numFmtId="9" fontId="3" fillId="2" borderId="28" xfId="3" applyNumberFormat="1" applyFill="1" applyBorder="1" applyAlignment="1" applyProtection="1">
      <alignment horizontal="center"/>
      <protection locked="0"/>
    </xf>
    <xf numFmtId="9" fontId="3" fillId="2" borderId="26" xfId="3" applyNumberFormat="1" applyFill="1" applyBorder="1" applyAlignment="1" applyProtection="1">
      <alignment horizontal="center"/>
      <protection locked="0"/>
    </xf>
    <xf numFmtId="9" fontId="3" fillId="2" borderId="21" xfId="3" applyNumberFormat="1" applyFill="1" applyBorder="1" applyAlignment="1" applyProtection="1">
      <alignment horizontal="center"/>
      <protection locked="0"/>
    </xf>
    <xf numFmtId="0" fontId="3" fillId="0" borderId="22" xfId="3" applyBorder="1"/>
    <xf numFmtId="0" fontId="3" fillId="0" borderId="6" xfId="3" applyBorder="1"/>
    <xf numFmtId="0" fontId="3" fillId="0" borderId="24" xfId="3" applyBorder="1" applyAlignment="1" applyProtection="1">
      <alignment horizontal="center"/>
      <protection locked="0"/>
    </xf>
    <xf numFmtId="0" fontId="3" fillId="0" borderId="1" xfId="3" applyBorder="1" applyAlignment="1" applyProtection="1">
      <alignment wrapText="1"/>
      <protection locked="0"/>
    </xf>
    <xf numFmtId="0" fontId="3" fillId="0" borderId="23" xfId="3" applyBorder="1" applyAlignment="1">
      <alignment horizontal="center"/>
    </xf>
    <xf numFmtId="0" fontId="3" fillId="0" borderId="23" xfId="3" applyBorder="1" applyAlignment="1" applyProtection="1">
      <alignment horizontal="center"/>
      <protection locked="0"/>
    </xf>
    <xf numFmtId="0" fontId="3" fillId="0" borderId="2" xfId="3" applyBorder="1" applyAlignment="1" applyProtection="1">
      <alignment horizontal="left" wrapText="1"/>
      <protection locked="0"/>
    </xf>
    <xf numFmtId="0" fontId="3" fillId="0" borderId="12" xfId="3" applyBorder="1"/>
    <xf numFmtId="0" fontId="10" fillId="0" borderId="0" xfId="3" applyFont="1" applyAlignment="1">
      <alignment horizontal="right"/>
    </xf>
    <xf numFmtId="0" fontId="20" fillId="0" borderId="14" xfId="0" applyFont="1" applyBorder="1"/>
    <xf numFmtId="0" fontId="0" fillId="0" borderId="14" xfId="0" applyBorder="1"/>
    <xf numFmtId="0" fontId="3" fillId="0" borderId="0" xfId="0" applyFont="1"/>
    <xf numFmtId="0" fontId="21" fillId="0" borderId="15" xfId="0" applyFont="1" applyBorder="1" applyAlignment="1">
      <alignment horizontal="center"/>
    </xf>
    <xf numFmtId="0" fontId="21" fillId="0" borderId="0" xfId="0" applyFont="1" applyAlignment="1">
      <alignment horizontal="center"/>
    </xf>
    <xf numFmtId="0" fontId="22" fillId="0" borderId="16" xfId="0" applyFont="1" applyBorder="1"/>
    <xf numFmtId="0" fontId="22" fillId="0" borderId="0" xfId="0" applyFont="1"/>
    <xf numFmtId="14" fontId="3" fillId="0" borderId="1" xfId="0" applyNumberFormat="1" applyFont="1" applyBorder="1" applyAlignment="1" applyProtection="1">
      <alignment horizontal="right"/>
      <protection locked="0"/>
    </xf>
    <xf numFmtId="0" fontId="0" fillId="0" borderId="17" xfId="0" applyBorder="1" applyAlignment="1">
      <alignment horizontal="left"/>
    </xf>
    <xf numFmtId="0" fontId="8" fillId="0" borderId="16" xfId="0" applyFont="1" applyBorder="1" applyAlignment="1">
      <alignment vertical="top"/>
    </xf>
    <xf numFmtId="0" fontId="8" fillId="0" borderId="0" xfId="0" applyFont="1" applyAlignment="1">
      <alignment vertical="top"/>
    </xf>
    <xf numFmtId="0" fontId="8" fillId="0" borderId="0" xfId="0" applyFont="1" applyAlignment="1">
      <alignment horizontal="right" vertical="top"/>
    </xf>
    <xf numFmtId="0" fontId="0" fillId="0" borderId="6" xfId="0" applyBorder="1"/>
    <xf numFmtId="0" fontId="0" fillId="0" borderId="3" xfId="0" applyBorder="1"/>
    <xf numFmtId="0" fontId="0" fillId="0" borderId="21" xfId="0" applyBorder="1"/>
    <xf numFmtId="0" fontId="10" fillId="0" borderId="0" xfId="0" applyFont="1" applyAlignment="1">
      <alignment horizontal="right"/>
    </xf>
    <xf numFmtId="0" fontId="3" fillId="0" borderId="0" xfId="0" applyFont="1" applyAlignment="1">
      <alignment horizontal="right"/>
    </xf>
    <xf numFmtId="0" fontId="23" fillId="0" borderId="14" xfId="3" applyFont="1" applyBorder="1" applyAlignment="1" applyProtection="1">
      <alignment horizontal="left"/>
      <protection locked="0"/>
    </xf>
    <xf numFmtId="0" fontId="23" fillId="0" borderId="14" xfId="3" applyFont="1" applyBorder="1" applyAlignment="1" applyProtection="1">
      <alignment horizontal="center"/>
      <protection locked="0"/>
    </xf>
    <xf numFmtId="0" fontId="22" fillId="0" borderId="0" xfId="3" applyFont="1"/>
    <xf numFmtId="0" fontId="25" fillId="0" borderId="0" xfId="3" applyFont="1" applyAlignment="1">
      <alignment horizontal="left"/>
    </xf>
    <xf numFmtId="0" fontId="25" fillId="0" borderId="0" xfId="3" applyFont="1"/>
    <xf numFmtId="0" fontId="27" fillId="3" borderId="0" xfId="0" applyFont="1" applyFill="1"/>
    <xf numFmtId="0" fontId="19" fillId="2" borderId="0" xfId="3" applyFont="1" applyFill="1" applyAlignment="1">
      <alignment horizontal="center" wrapText="1"/>
    </xf>
    <xf numFmtId="14" fontId="19" fillId="2" borderId="0" xfId="3" applyNumberFormat="1" applyFont="1" applyFill="1" applyAlignment="1">
      <alignment horizontal="left" wrapText="1"/>
    </xf>
    <xf numFmtId="0" fontId="3" fillId="4" borderId="0" xfId="3" applyFill="1" applyAlignment="1">
      <alignment wrapText="1"/>
    </xf>
    <xf numFmtId="0" fontId="19" fillId="4" borderId="0" xfId="3" applyFont="1" applyFill="1" applyAlignment="1">
      <alignment horizontal="left" wrapText="1"/>
    </xf>
    <xf numFmtId="0" fontId="3" fillId="2" borderId="0" xfId="3" applyFill="1" applyAlignment="1">
      <alignment wrapText="1"/>
    </xf>
    <xf numFmtId="0" fontId="3" fillId="5" borderId="0" xfId="3" applyFill="1" applyAlignment="1">
      <alignment wrapText="1"/>
    </xf>
    <xf numFmtId="0" fontId="28" fillId="0" borderId="0" xfId="3" applyFont="1" applyAlignment="1" applyProtection="1">
      <alignment wrapText="1"/>
      <protection locked="0"/>
    </xf>
    <xf numFmtId="0" fontId="29" fillId="0" borderId="0" xfId="3" applyFont="1" applyProtection="1">
      <protection locked="0"/>
    </xf>
    <xf numFmtId="0" fontId="28" fillId="0" borderId="0" xfId="3" applyFont="1" applyProtection="1">
      <protection locked="0"/>
    </xf>
    <xf numFmtId="0" fontId="25" fillId="0" borderId="0" xfId="3" applyFont="1" applyProtection="1">
      <protection locked="0"/>
    </xf>
    <xf numFmtId="0" fontId="30" fillId="0" borderId="0" xfId="3" applyFont="1"/>
    <xf numFmtId="0" fontId="31" fillId="0" borderId="9" xfId="3" applyFont="1" applyBorder="1"/>
    <xf numFmtId="0" fontId="25" fillId="0" borderId="9" xfId="3" applyFont="1" applyBorder="1"/>
    <xf numFmtId="0" fontId="25" fillId="0" borderId="16" xfId="3" applyFont="1" applyBorder="1" applyAlignment="1">
      <alignment horizontal="right"/>
    </xf>
    <xf numFmtId="0" fontId="2" fillId="0" borderId="16" xfId="3" applyFont="1" applyBorder="1" applyAlignment="1">
      <alignment horizontal="left"/>
    </xf>
    <xf numFmtId="9" fontId="25" fillId="0" borderId="0" xfId="3" applyNumberFormat="1" applyFont="1" applyAlignment="1">
      <alignment horizontal="right"/>
    </xf>
    <xf numFmtId="0" fontId="30" fillId="0" borderId="0" xfId="3" applyFont="1" applyProtection="1">
      <protection locked="0"/>
    </xf>
    <xf numFmtId="0" fontId="30" fillId="0" borderId="23" xfId="3" applyFont="1" applyBorder="1" applyProtection="1">
      <protection locked="0"/>
    </xf>
    <xf numFmtId="49" fontId="25" fillId="0" borderId="0" xfId="3" applyNumberFormat="1" applyFont="1" applyProtection="1">
      <protection locked="0"/>
    </xf>
    <xf numFmtId="0" fontId="25" fillId="0" borderId="0" xfId="3" applyFont="1" applyAlignment="1">
      <alignment horizontal="right"/>
    </xf>
    <xf numFmtId="0" fontId="25" fillId="2" borderId="16" xfId="3" applyFont="1" applyFill="1" applyBorder="1" applyAlignment="1">
      <alignment horizontal="right"/>
    </xf>
    <xf numFmtId="3" fontId="25" fillId="0" borderId="9" xfId="3" applyNumberFormat="1" applyFont="1" applyBorder="1"/>
    <xf numFmtId="0" fontId="25" fillId="0" borderId="23" xfId="3" applyFont="1" applyBorder="1" applyProtection="1">
      <protection locked="0"/>
    </xf>
    <xf numFmtId="0" fontId="25" fillId="0" borderId="9" xfId="3" applyFont="1" applyBorder="1" applyAlignment="1">
      <alignment wrapText="1"/>
    </xf>
    <xf numFmtId="0" fontId="2" fillId="0" borderId="20" xfId="3" applyFont="1" applyBorder="1" applyAlignment="1">
      <alignment horizontal="left"/>
    </xf>
    <xf numFmtId="0" fontId="32" fillId="0" borderId="9" xfId="3" applyFont="1" applyBorder="1" applyAlignment="1">
      <alignment vertical="center"/>
    </xf>
    <xf numFmtId="6" fontId="25" fillId="0" borderId="0" xfId="3" applyNumberFormat="1" applyFont="1" applyAlignment="1" applyProtection="1">
      <alignment horizontal="right"/>
      <protection locked="0"/>
    </xf>
    <xf numFmtId="0" fontId="25" fillId="0" borderId="0" xfId="3" applyFont="1" applyAlignment="1" applyProtection="1">
      <alignment horizontal="right"/>
      <protection locked="0"/>
    </xf>
    <xf numFmtId="0" fontId="25" fillId="0" borderId="20" xfId="3" applyFont="1" applyBorder="1" applyAlignment="1">
      <alignment horizontal="right"/>
    </xf>
    <xf numFmtId="169" fontId="25" fillId="0" borderId="0" xfId="3" applyNumberFormat="1" applyFont="1" applyProtection="1">
      <protection locked="0"/>
    </xf>
    <xf numFmtId="3" fontId="25" fillId="0" borderId="0" xfId="3" applyNumberFormat="1" applyFont="1" applyProtection="1">
      <protection locked="0"/>
    </xf>
    <xf numFmtId="3" fontId="25" fillId="0" borderId="23" xfId="3" applyNumberFormat="1" applyFont="1" applyBorder="1" applyProtection="1">
      <protection locked="0"/>
    </xf>
    <xf numFmtId="3" fontId="30" fillId="0" borderId="0" xfId="3" applyNumberFormat="1" applyFont="1" applyProtection="1">
      <protection locked="0"/>
    </xf>
    <xf numFmtId="3" fontId="30" fillId="0" borderId="23" xfId="3" applyNumberFormat="1" applyFont="1" applyBorder="1" applyProtection="1">
      <protection locked="0"/>
    </xf>
    <xf numFmtId="169" fontId="25" fillId="0" borderId="0" xfId="3" applyNumberFormat="1" applyFont="1" applyAlignment="1" applyProtection="1">
      <alignment horizontal="right"/>
      <protection locked="0"/>
    </xf>
    <xf numFmtId="6" fontId="25" fillId="0" borderId="23" xfId="3" applyNumberFormat="1" applyFont="1" applyBorder="1" applyProtection="1">
      <protection locked="0"/>
    </xf>
    <xf numFmtId="1" fontId="30" fillId="0" borderId="0" xfId="3" applyNumberFormat="1" applyFont="1" applyProtection="1">
      <protection locked="0"/>
    </xf>
    <xf numFmtId="1" fontId="25" fillId="0" borderId="23" xfId="3" applyNumberFormat="1" applyFont="1" applyBorder="1" applyProtection="1">
      <protection locked="0"/>
    </xf>
    <xf numFmtId="6" fontId="25" fillId="0" borderId="0" xfId="3" applyNumberFormat="1" applyFont="1" applyProtection="1">
      <protection locked="0"/>
    </xf>
    <xf numFmtId="38" fontId="25" fillId="0" borderId="0" xfId="3" applyNumberFormat="1" applyFont="1" applyProtection="1">
      <protection locked="0"/>
    </xf>
    <xf numFmtId="38" fontId="25" fillId="0" borderId="23" xfId="3" applyNumberFormat="1" applyFont="1" applyBorder="1" applyProtection="1">
      <protection locked="0"/>
    </xf>
    <xf numFmtId="49" fontId="25" fillId="0" borderId="0" xfId="3" applyNumberFormat="1" applyFont="1" applyAlignment="1" applyProtection="1">
      <alignment horizontal="right"/>
      <protection locked="0"/>
    </xf>
    <xf numFmtId="1" fontId="25" fillId="0" borderId="0" xfId="3" applyNumberFormat="1" applyFont="1" applyProtection="1">
      <protection locked="0"/>
    </xf>
    <xf numFmtId="1" fontId="25" fillId="0" borderId="0" xfId="3" applyNumberFormat="1" applyFont="1" applyAlignment="1" applyProtection="1">
      <alignment horizontal="right"/>
      <protection locked="0"/>
    </xf>
    <xf numFmtId="9" fontId="25" fillId="0" borderId="0" xfId="3" applyNumberFormat="1" applyFont="1" applyAlignment="1" applyProtection="1">
      <alignment horizontal="right"/>
      <protection locked="0"/>
    </xf>
    <xf numFmtId="9" fontId="25" fillId="0" borderId="23" xfId="3" applyNumberFormat="1" applyFont="1" applyBorder="1" applyAlignment="1" applyProtection="1">
      <alignment horizontal="right"/>
      <protection locked="0"/>
    </xf>
    <xf numFmtId="9" fontId="25" fillId="0" borderId="0" xfId="3" applyNumberFormat="1" applyFont="1" applyProtection="1">
      <protection locked="0"/>
    </xf>
    <xf numFmtId="9" fontId="25" fillId="0" borderId="23" xfId="3" applyNumberFormat="1" applyFont="1" applyBorder="1" applyProtection="1">
      <protection locked="0"/>
    </xf>
    <xf numFmtId="1" fontId="30" fillId="0" borderId="23" xfId="3" applyNumberFormat="1" applyFont="1" applyBorder="1" applyProtection="1">
      <protection locked="0"/>
    </xf>
    <xf numFmtId="1" fontId="25" fillId="0" borderId="29" xfId="3" applyNumberFormat="1" applyFont="1" applyBorder="1" applyProtection="1">
      <protection locked="0"/>
    </xf>
    <xf numFmtId="0" fontId="25" fillId="0" borderId="0" xfId="3" applyFont="1" applyAlignment="1" applyProtection="1">
      <alignment horizontal="center"/>
      <protection locked="0"/>
    </xf>
    <xf numFmtId="0" fontId="25" fillId="0" borderId="23" xfId="3" applyFont="1" applyBorder="1" applyAlignment="1" applyProtection="1">
      <alignment horizontal="center"/>
      <protection locked="0"/>
    </xf>
    <xf numFmtId="0" fontId="25" fillId="0" borderId="23" xfId="3" applyFont="1" applyBorder="1" applyAlignment="1" applyProtection="1">
      <alignment horizontal="right"/>
      <protection locked="0"/>
    </xf>
    <xf numFmtId="0" fontId="25" fillId="0" borderId="1" xfId="3" applyFont="1" applyBorder="1" applyProtection="1">
      <protection locked="0"/>
    </xf>
    <xf numFmtId="0" fontId="33" fillId="0" borderId="30" xfId="0" applyFont="1" applyBorder="1"/>
    <xf numFmtId="0" fontId="2" fillId="0" borderId="0" xfId="0" applyFont="1"/>
    <xf numFmtId="0" fontId="34" fillId="0" borderId="0" xfId="0" applyFont="1"/>
    <xf numFmtId="10" fontId="35" fillId="0" borderId="0" xfId="0" applyNumberFormat="1" applyFont="1"/>
    <xf numFmtId="170" fontId="0" fillId="0" borderId="0" xfId="0" applyNumberFormat="1"/>
    <xf numFmtId="9" fontId="0" fillId="0" borderId="0" xfId="2" applyFont="1"/>
    <xf numFmtId="0" fontId="34" fillId="0" borderId="31" xfId="0" applyFont="1" applyBorder="1"/>
    <xf numFmtId="10" fontId="35" fillId="0" borderId="32" xfId="0" applyNumberFormat="1" applyFont="1" applyBorder="1"/>
    <xf numFmtId="0" fontId="34" fillId="0" borderId="33" xfId="0" applyFont="1" applyBorder="1"/>
    <xf numFmtId="10" fontId="35" fillId="0" borderId="34" xfId="0" applyNumberFormat="1" applyFont="1" applyBorder="1"/>
    <xf numFmtId="0" fontId="34" fillId="0" borderId="35" xfId="0" applyFont="1" applyBorder="1"/>
    <xf numFmtId="0" fontId="34" fillId="0" borderId="36" xfId="0" applyFont="1" applyBorder="1"/>
    <xf numFmtId="0" fontId="34" fillId="10" borderId="0" xfId="0" applyFont="1" applyFill="1"/>
    <xf numFmtId="10" fontId="35" fillId="10" borderId="34" xfId="0" applyNumberFormat="1" applyFont="1" applyFill="1" applyBorder="1"/>
    <xf numFmtId="9" fontId="0" fillId="11" borderId="0" xfId="2" applyFont="1" applyFill="1"/>
    <xf numFmtId="0" fontId="3" fillId="0" borderId="0" xfId="0" applyFont="1" applyAlignment="1">
      <alignment horizontal="left" wrapText="1"/>
    </xf>
    <xf numFmtId="0" fontId="10" fillId="0" borderId="1" xfId="0" applyFont="1" applyBorder="1" applyAlignment="1">
      <alignment horizontal="left"/>
    </xf>
    <xf numFmtId="0" fontId="3" fillId="0" borderId="1" xfId="0" applyFont="1" applyBorder="1" applyAlignment="1" applyProtection="1">
      <alignment horizontal="left"/>
      <protection locked="0"/>
    </xf>
    <xf numFmtId="0" fontId="3" fillId="0" borderId="1" xfId="0" applyFont="1" applyBorder="1" applyAlignment="1" applyProtection="1">
      <alignment horizontal="right"/>
      <protection locked="0"/>
    </xf>
    <xf numFmtId="0" fontId="3" fillId="0" borderId="19" xfId="3" applyBorder="1" applyAlignment="1">
      <alignment horizontal="right"/>
    </xf>
    <xf numFmtId="0" fontId="3" fillId="0" borderId="25" xfId="3" applyBorder="1" applyAlignment="1">
      <alignment horizontal="right"/>
    </xf>
    <xf numFmtId="0" fontId="3" fillId="0" borderId="1" xfId="3" applyBorder="1" applyAlignment="1">
      <alignment horizontal="right"/>
    </xf>
    <xf numFmtId="0" fontId="19" fillId="0" borderId="11" xfId="0" applyFont="1" applyBorder="1" applyAlignment="1">
      <alignment horizontal="left"/>
    </xf>
    <xf numFmtId="0" fontId="19" fillId="0" borderId="2" xfId="0" applyFont="1" applyBorder="1" applyAlignment="1">
      <alignment horizontal="left"/>
    </xf>
    <xf numFmtId="0" fontId="19" fillId="0" borderId="8" xfId="0" applyFont="1" applyBorder="1" applyAlignment="1">
      <alignment horizontal="left"/>
    </xf>
    <xf numFmtId="0" fontId="6" fillId="5" borderId="15" xfId="3" applyFont="1" applyFill="1" applyBorder="1" applyAlignment="1">
      <alignment horizontal="center"/>
    </xf>
    <xf numFmtId="0" fontId="3" fillId="0" borderId="0" xfId="3" applyAlignment="1">
      <alignment horizontal="left" vertical="center"/>
    </xf>
    <xf numFmtId="0" fontId="3" fillId="0" borderId="23" xfId="3" applyBorder="1" applyAlignment="1">
      <alignment horizontal="left" vertical="center"/>
    </xf>
    <xf numFmtId="0" fontId="3" fillId="0" borderId="23" xfId="3" applyBorder="1" applyAlignment="1">
      <alignment horizontal="left" vertical="center" shrinkToFit="1"/>
    </xf>
    <xf numFmtId="0" fontId="6" fillId="0" borderId="0" xfId="3" applyFont="1" applyAlignment="1">
      <alignment horizontal="left" vertical="center" wrapText="1" shrinkToFit="1"/>
    </xf>
    <xf numFmtId="0" fontId="3" fillId="0" borderId="22" xfId="3" applyBorder="1" applyAlignment="1">
      <alignment horizontal="left"/>
    </xf>
    <xf numFmtId="0" fontId="3" fillId="0" borderId="6" xfId="3" applyBorder="1" applyAlignment="1">
      <alignment horizontal="left"/>
    </xf>
    <xf numFmtId="0" fontId="3" fillId="2" borderId="2" xfId="3" applyFill="1" applyBorder="1" applyAlignment="1" applyProtection="1">
      <alignment horizontal="center"/>
      <protection locked="0"/>
    </xf>
    <xf numFmtId="0" fontId="3" fillId="0" borderId="20" xfId="3" applyBorder="1" applyAlignment="1">
      <alignment horizontal="right"/>
    </xf>
    <xf numFmtId="0" fontId="3" fillId="0" borderId="3" xfId="3" applyBorder="1" applyAlignment="1">
      <alignment horizontal="right"/>
    </xf>
    <xf numFmtId="0" fontId="6" fillId="5" borderId="9" xfId="0" applyFont="1" applyFill="1" applyBorder="1" applyAlignment="1">
      <alignment horizontal="center" wrapText="1"/>
    </xf>
    <xf numFmtId="0" fontId="3" fillId="0" borderId="16" xfId="3" applyBorder="1" applyAlignment="1">
      <alignment horizontal="right"/>
    </xf>
    <xf numFmtId="0" fontId="3" fillId="0" borderId="0" xfId="3" applyAlignment="1" applyProtection="1">
      <alignment horizontal="center" wrapText="1"/>
      <protection locked="0"/>
    </xf>
    <xf numFmtId="0" fontId="3" fillId="2" borderId="1" xfId="3" applyFill="1" applyBorder="1" applyAlignment="1" applyProtection="1">
      <alignment horizontal="center"/>
      <protection locked="0"/>
    </xf>
    <xf numFmtId="0" fontId="3" fillId="5" borderId="7" xfId="3" applyFill="1" applyBorder="1" applyAlignment="1">
      <alignment horizontal="center"/>
    </xf>
    <xf numFmtId="0" fontId="3" fillId="5" borderId="8" xfId="3" applyFill="1" applyBorder="1" applyAlignment="1">
      <alignment horizontal="center"/>
    </xf>
    <xf numFmtId="169" fontId="3" fillId="2" borderId="2" xfId="3" applyNumberFormat="1" applyFill="1" applyBorder="1" applyAlignment="1" applyProtection="1">
      <alignment horizontal="center"/>
      <protection locked="0"/>
    </xf>
    <xf numFmtId="169" fontId="3" fillId="2" borderId="1" xfId="3" applyNumberFormat="1" applyFill="1" applyBorder="1" applyAlignment="1" applyProtection="1">
      <alignment horizontal="center"/>
      <protection locked="0"/>
    </xf>
    <xf numFmtId="0" fontId="3" fillId="6" borderId="11" xfId="3" applyFill="1" applyBorder="1" applyAlignment="1">
      <alignment wrapText="1"/>
    </xf>
    <xf numFmtId="0" fontId="3" fillId="6" borderId="8" xfId="3" applyFill="1" applyBorder="1" applyAlignment="1">
      <alignment wrapText="1"/>
    </xf>
    <xf numFmtId="0" fontId="9" fillId="6" borderId="11" xfId="3" applyFont="1" applyFill="1" applyBorder="1" applyAlignment="1">
      <alignment horizontal="left" vertical="center"/>
    </xf>
    <xf numFmtId="0" fontId="9" fillId="6" borderId="8" xfId="3" applyFont="1" applyFill="1" applyBorder="1" applyAlignment="1">
      <alignment horizontal="left" vertical="center"/>
    </xf>
    <xf numFmtId="0" fontId="6" fillId="0" borderId="14" xfId="3" applyFont="1" applyBorder="1" applyAlignment="1">
      <alignment horizontal="right"/>
    </xf>
    <xf numFmtId="14" fontId="3" fillId="0" borderId="14" xfId="3" applyNumberFormat="1" applyBorder="1" applyAlignment="1" applyProtection="1">
      <alignment horizontal="center"/>
      <protection locked="0"/>
    </xf>
    <xf numFmtId="0" fontId="6" fillId="9" borderId="8" xfId="3" applyFont="1" applyFill="1" applyBorder="1" applyAlignment="1">
      <alignment horizontal="center"/>
    </xf>
    <xf numFmtId="49" fontId="3" fillId="2" borderId="1" xfId="3" applyNumberFormat="1" applyFill="1" applyBorder="1" applyAlignment="1" applyProtection="1">
      <alignment horizontal="center"/>
      <protection locked="0"/>
    </xf>
    <xf numFmtId="0" fontId="3" fillId="2" borderId="7" xfId="3" applyFill="1" applyBorder="1" applyAlignment="1" applyProtection="1">
      <alignment wrapText="1"/>
      <protection locked="0"/>
    </xf>
    <xf numFmtId="0" fontId="3" fillId="2" borderId="8" xfId="3" applyFill="1" applyBorder="1" applyAlignment="1" applyProtection="1">
      <alignment wrapText="1"/>
      <protection locked="0"/>
    </xf>
    <xf numFmtId="0" fontId="3" fillId="2" borderId="7" xfId="3" applyFill="1" applyBorder="1"/>
    <xf numFmtId="0" fontId="3" fillId="2" borderId="8" xfId="3" applyFill="1" applyBorder="1"/>
    <xf numFmtId="0" fontId="3" fillId="9" borderId="7" xfId="3" applyFill="1" applyBorder="1" applyAlignment="1">
      <alignment horizontal="left" vertical="center" wrapText="1"/>
    </xf>
    <xf numFmtId="0" fontId="3" fillId="9" borderId="2" xfId="3" applyFill="1" applyBorder="1" applyAlignment="1">
      <alignment horizontal="left" vertical="center" wrapText="1"/>
    </xf>
    <xf numFmtId="0" fontId="3" fillId="9" borderId="8" xfId="3" applyFill="1" applyBorder="1" applyAlignment="1">
      <alignment horizontal="left" vertical="center" wrapText="1"/>
    </xf>
    <xf numFmtId="49" fontId="3" fillId="9" borderId="7" xfId="3" applyNumberFormat="1" applyFill="1" applyBorder="1" applyAlignment="1">
      <alignment horizontal="left" vertical="center" wrapText="1"/>
    </xf>
    <xf numFmtId="49" fontId="3" fillId="9" borderId="2" xfId="3" applyNumberFormat="1" applyFill="1" applyBorder="1" applyAlignment="1">
      <alignment horizontal="left" vertical="center" wrapText="1"/>
    </xf>
    <xf numFmtId="49" fontId="3" fillId="9" borderId="8" xfId="3" applyNumberFormat="1" applyFill="1" applyBorder="1" applyAlignment="1">
      <alignment horizontal="left" vertical="center" wrapText="1"/>
    </xf>
    <xf numFmtId="0" fontId="9" fillId="0" borderId="0" xfId="3" applyFont="1" applyAlignment="1">
      <alignment horizontal="left"/>
    </xf>
    <xf numFmtId="0" fontId="3" fillId="9" borderId="7" xfId="3" applyFill="1" applyBorder="1"/>
    <xf numFmtId="0" fontId="3" fillId="9" borderId="2" xfId="3" applyFill="1" applyBorder="1"/>
    <xf numFmtId="0" fontId="3" fillId="9" borderId="8" xfId="3" applyFill="1" applyBorder="1"/>
    <xf numFmtId="0" fontId="3" fillId="9" borderId="7" xfId="3" applyFill="1" applyBorder="1" applyAlignment="1">
      <alignment horizontal="left"/>
    </xf>
    <xf numFmtId="0" fontId="3" fillId="9" borderId="8" xfId="3" applyFill="1" applyBorder="1" applyAlignment="1">
      <alignment horizontal="left"/>
    </xf>
    <xf numFmtId="0" fontId="6" fillId="0" borderId="1" xfId="3" applyFont="1" applyBorder="1" applyAlignment="1">
      <alignment horizontal="left"/>
    </xf>
    <xf numFmtId="0" fontId="6" fillId="0" borderId="7" xfId="0" applyFont="1" applyBorder="1" applyAlignment="1">
      <alignment horizontal="right"/>
    </xf>
    <xf numFmtId="0" fontId="6" fillId="0" borderId="8" xfId="0" applyFont="1" applyBorder="1" applyAlignment="1">
      <alignment horizontal="right"/>
    </xf>
    <xf numFmtId="0" fontId="0" fillId="6" borderId="7" xfId="0" applyFill="1" applyBorder="1"/>
    <xf numFmtId="0" fontId="0" fillId="6" borderId="8" xfId="0" applyFill="1" applyBorder="1"/>
    <xf numFmtId="0" fontId="3" fillId="6" borderId="7" xfId="0" applyFont="1" applyFill="1" applyBorder="1"/>
    <xf numFmtId="0" fontId="3" fillId="6" borderId="8" xfId="0" applyFont="1" applyFill="1" applyBorder="1"/>
    <xf numFmtId="0" fontId="0" fillId="8" borderId="7" xfId="0" applyFill="1" applyBorder="1"/>
    <xf numFmtId="0" fontId="0" fillId="8" borderId="8" xfId="0" applyFill="1" applyBorder="1"/>
    <xf numFmtId="0" fontId="0" fillId="6" borderId="7" xfId="0" applyFill="1" applyBorder="1" applyAlignment="1">
      <alignment horizontal="left"/>
    </xf>
    <xf numFmtId="0" fontId="0" fillId="6" borderId="8" xfId="0" applyFill="1" applyBorder="1" applyAlignment="1">
      <alignment horizontal="left"/>
    </xf>
    <xf numFmtId="0" fontId="6" fillId="6" borderId="7" xfId="0" applyFont="1" applyFill="1" applyBorder="1"/>
    <xf numFmtId="0" fontId="6" fillId="6" borderId="8" xfId="0" applyFont="1" applyFill="1" applyBorder="1"/>
    <xf numFmtId="0" fontId="3" fillId="0" borderId="0" xfId="3" applyAlignment="1">
      <alignment horizontal="left" shrinkToFit="1"/>
    </xf>
    <xf numFmtId="0" fontId="3" fillId="0" borderId="2" xfId="3" applyBorder="1" applyAlignment="1" applyProtection="1">
      <alignment horizontal="center" wrapText="1" shrinkToFit="1"/>
      <protection locked="0"/>
    </xf>
    <xf numFmtId="0" fontId="3" fillId="0" borderId="1" xfId="3" applyBorder="1" applyAlignment="1" applyProtection="1">
      <alignment horizontal="center"/>
      <protection locked="0"/>
    </xf>
    <xf numFmtId="0" fontId="3" fillId="5" borderId="2" xfId="3" applyFill="1" applyBorder="1" applyAlignment="1">
      <alignment horizontal="left"/>
    </xf>
    <xf numFmtId="0" fontId="3" fillId="3" borderId="1" xfId="3" applyFill="1" applyBorder="1"/>
    <xf numFmtId="0" fontId="8" fillId="0" borderId="0" xfId="3" applyFont="1" applyAlignment="1">
      <alignment horizontal="left" vertical="top" shrinkToFit="1"/>
    </xf>
    <xf numFmtId="0" fontId="3" fillId="0" borderId="0" xfId="3" applyAlignment="1">
      <alignment horizontal="left" wrapText="1"/>
    </xf>
    <xf numFmtId="0" fontId="3" fillId="2" borderId="1" xfId="3" applyFill="1" applyBorder="1" applyAlignment="1" applyProtection="1">
      <alignment horizontal="center" shrinkToFit="1"/>
      <protection locked="0"/>
    </xf>
    <xf numFmtId="0" fontId="6" fillId="0" borderId="0" xfId="3" applyFont="1" applyAlignment="1">
      <alignment horizontal="right"/>
    </xf>
    <xf numFmtId="0" fontId="3" fillId="0" borderId="2" xfId="3" applyBorder="1" applyAlignment="1">
      <alignment horizontal="center"/>
    </xf>
    <xf numFmtId="0" fontId="0" fillId="0" borderId="1" xfId="0" applyBorder="1" applyAlignment="1">
      <alignment horizontal="center"/>
    </xf>
    <xf numFmtId="0" fontId="19" fillId="0" borderId="2" xfId="0" applyFont="1" applyBorder="1" applyAlignment="1">
      <alignment horizontal="left" wrapText="1"/>
    </xf>
    <xf numFmtId="0" fontId="21" fillId="0" borderId="14" xfId="0" applyFont="1" applyBorder="1" applyAlignment="1">
      <alignment horizontal="center"/>
    </xf>
    <xf numFmtId="0" fontId="6" fillId="5" borderId="14" xfId="3" applyFont="1" applyFill="1" applyBorder="1" applyAlignment="1">
      <alignment horizontal="center"/>
    </xf>
    <xf numFmtId="0" fontId="6" fillId="5" borderId="2" xfId="3" applyFont="1" applyFill="1" applyBorder="1" applyAlignment="1">
      <alignment horizontal="center"/>
    </xf>
    <xf numFmtId="0" fontId="3" fillId="2" borderId="8" xfId="0" applyFont="1" applyFill="1" applyBorder="1" applyAlignment="1">
      <alignment horizontal="center" wrapText="1"/>
    </xf>
    <xf numFmtId="0" fontId="3" fillId="0" borderId="3" xfId="3" applyBorder="1" applyAlignment="1">
      <alignment horizontal="center"/>
    </xf>
    <xf numFmtId="0" fontId="6" fillId="5" borderId="7" xfId="0" applyFont="1" applyFill="1" applyBorder="1" applyAlignment="1">
      <alignment horizontal="center" wrapText="1"/>
    </xf>
    <xf numFmtId="0" fontId="6" fillId="5" borderId="8" xfId="0" applyFont="1" applyFill="1" applyBorder="1" applyAlignment="1">
      <alignment horizontal="center"/>
    </xf>
    <xf numFmtId="0" fontId="3" fillId="2" borderId="2" xfId="3" applyFill="1" applyBorder="1" applyAlignment="1" applyProtection="1">
      <alignment horizontal="center" wrapText="1"/>
      <protection locked="0"/>
    </xf>
    <xf numFmtId="0" fontId="6" fillId="9" borderId="2" xfId="3" applyFont="1" applyFill="1" applyBorder="1" applyAlignment="1">
      <alignment horizontal="center"/>
    </xf>
    <xf numFmtId="9" fontId="3" fillId="2" borderId="7" xfId="3" applyNumberFormat="1" applyFill="1" applyBorder="1" applyAlignment="1" applyProtection="1">
      <alignment horizontal="center"/>
      <protection locked="0"/>
    </xf>
    <xf numFmtId="0" fontId="3" fillId="0" borderId="0" xfId="3" applyAlignment="1">
      <alignment horizontal="center" wrapText="1" shrinkToFit="1"/>
    </xf>
    <xf numFmtId="0" fontId="3" fillId="0" borderId="2" xfId="3" applyBorder="1" applyAlignment="1" applyProtection="1">
      <alignment shrinkToFit="1"/>
      <protection locked="0"/>
    </xf>
    <xf numFmtId="9" fontId="3" fillId="2" borderId="25" xfId="3" applyNumberFormat="1" applyFill="1" applyBorder="1" applyAlignment="1" applyProtection="1">
      <alignment horizontal="center"/>
      <protection locked="0"/>
    </xf>
    <xf numFmtId="0" fontId="3" fillId="5" borderId="0" xfId="3" applyFill="1" applyAlignment="1">
      <alignment horizontal="left"/>
    </xf>
    <xf numFmtId="0" fontId="3" fillId="2" borderId="0" xfId="3" applyFill="1" applyAlignment="1">
      <alignment horizontal="left"/>
    </xf>
    <xf numFmtId="0" fontId="3" fillId="2" borderId="7" xfId="0" applyFont="1" applyFill="1" applyBorder="1" applyAlignment="1" applyProtection="1">
      <alignment horizontal="center"/>
      <protection locked="0"/>
    </xf>
    <xf numFmtId="0" fontId="3" fillId="2" borderId="12" xfId="3" applyFill="1" applyBorder="1" applyAlignment="1" applyProtection="1">
      <alignment horizontal="center" wrapText="1"/>
      <protection locked="0"/>
    </xf>
    <xf numFmtId="9" fontId="3" fillId="2" borderId="0" xfId="3" applyNumberFormat="1" applyFill="1" applyAlignment="1" applyProtection="1">
      <alignment horizontal="center"/>
      <protection locked="0"/>
    </xf>
    <xf numFmtId="0" fontId="19" fillId="0" borderId="1" xfId="0" applyFont="1" applyBorder="1" applyAlignment="1">
      <alignment horizontal="left"/>
    </xf>
    <xf numFmtId="0" fontId="19" fillId="0" borderId="1" xfId="0" applyFont="1" applyBorder="1" applyAlignment="1">
      <alignment horizontal="left" wrapText="1"/>
    </xf>
    <xf numFmtId="0" fontId="19" fillId="0" borderId="3" xfId="0" applyFont="1" applyBorder="1" applyAlignment="1">
      <alignment horizontal="left" wrapText="1"/>
    </xf>
    <xf numFmtId="0" fontId="19" fillId="0" borderId="7" xfId="0" applyFont="1" applyBorder="1" applyAlignment="1">
      <alignment horizontal="left"/>
    </xf>
    <xf numFmtId="0" fontId="6" fillId="5" borderId="0" xfId="3" applyFont="1" applyFill="1" applyAlignment="1">
      <alignment horizontal="center"/>
    </xf>
    <xf numFmtId="0" fontId="3" fillId="3" borderId="0" xfId="3" applyFill="1" applyProtection="1">
      <protection locked="0"/>
    </xf>
    <xf numFmtId="0" fontId="3" fillId="9" borderId="2" xfId="3" applyFill="1" applyBorder="1" applyAlignment="1">
      <alignment horizontal="left"/>
    </xf>
    <xf numFmtId="0" fontId="3" fillId="0" borderId="6" xfId="3" applyBorder="1" applyAlignment="1">
      <alignment horizontal="right" wrapText="1"/>
    </xf>
    <xf numFmtId="0" fontId="9" fillId="0" borderId="0" xfId="3" applyFont="1" applyAlignment="1">
      <alignment horizontal="center" vertical="center"/>
    </xf>
    <xf numFmtId="169" fontId="12" fillId="0" borderId="0" xfId="3" applyNumberFormat="1" applyFont="1" applyAlignment="1" applyProtection="1">
      <alignment horizontal="center"/>
      <protection locked="0"/>
    </xf>
    <xf numFmtId="169" fontId="12" fillId="0" borderId="0" xfId="3" applyNumberFormat="1" applyFont="1" applyAlignment="1" applyProtection="1">
      <alignment horizontal="center" wrapText="1"/>
      <protection locked="0"/>
    </xf>
    <xf numFmtId="169" fontId="9" fillId="0" borderId="0" xfId="3" applyNumberFormat="1" applyFont="1" applyAlignment="1">
      <alignment horizontal="center" vertical="center"/>
    </xf>
    <xf numFmtId="169" fontId="3" fillId="0" borderId="0" xfId="3" applyNumberFormat="1" applyAlignment="1" applyProtection="1">
      <alignment horizontal="center"/>
      <protection locked="0"/>
    </xf>
    <xf numFmtId="0" fontId="3" fillId="0" borderId="0" xfId="0" applyFont="1" applyAlignment="1" applyProtection="1">
      <alignment horizontal="center" shrinkToFit="1"/>
      <protection locked="0"/>
    </xf>
    <xf numFmtId="167" fontId="3" fillId="3" borderId="0" xfId="3" applyNumberFormat="1" applyFill="1" applyAlignment="1" applyProtection="1">
      <alignment horizontal="center"/>
      <protection locked="0"/>
    </xf>
    <xf numFmtId="167" fontId="3" fillId="2" borderId="0" xfId="3" applyNumberFormat="1" applyFill="1" applyAlignment="1" applyProtection="1">
      <alignment horizontal="center" shrinkToFit="1"/>
      <protection locked="0"/>
    </xf>
    <xf numFmtId="167" fontId="3" fillId="3" borderId="0" xfId="3" applyNumberFormat="1" applyFill="1" applyAlignment="1" applyProtection="1">
      <alignment horizontal="center" shrinkToFit="1"/>
      <protection locked="0"/>
    </xf>
    <xf numFmtId="0" fontId="3" fillId="0" borderId="0" xfId="3" applyAlignment="1" applyProtection="1">
      <alignment horizontal="left" shrinkToFit="1"/>
      <protection locked="0"/>
    </xf>
    <xf numFmtId="0" fontId="3" fillId="0" borderId="0" xfId="3" applyAlignment="1" applyProtection="1">
      <alignment horizontal="center" wrapText="1" shrinkToFit="1"/>
      <protection locked="0"/>
    </xf>
    <xf numFmtId="0" fontId="0" fillId="0" borderId="0" xfId="0" applyAlignment="1">
      <alignment horizontal="center"/>
    </xf>
    <xf numFmtId="0" fontId="3" fillId="0" borderId="0" xfId="0" applyFont="1" applyAlignment="1" applyProtection="1">
      <alignment horizontal="center"/>
      <protection locked="0"/>
    </xf>
    <xf numFmtId="9" fontId="3" fillId="0" borderId="0" xfId="3" applyNumberFormat="1" applyAlignment="1" applyProtection="1">
      <alignment horizontal="center" wrapText="1"/>
      <protection locked="0"/>
    </xf>
    <xf numFmtId="0" fontId="5" fillId="0" borderId="0" xfId="3" applyFont="1" applyProtection="1">
      <protection locked="0"/>
    </xf>
    <xf numFmtId="164" fontId="3" fillId="0" borderId="0" xfId="3" applyNumberFormat="1" applyAlignment="1" applyProtection="1">
      <alignment horizontal="center"/>
      <protection locked="0"/>
    </xf>
    <xf numFmtId="0" fontId="3" fillId="0" borderId="0" xfId="3" applyAlignment="1" applyProtection="1">
      <alignment horizontal="center" shrinkToFit="1"/>
      <protection locked="0"/>
    </xf>
    <xf numFmtId="0" fontId="3" fillId="3" borderId="7" xfId="0" applyFont="1" applyFill="1" applyBorder="1" applyAlignment="1" applyProtection="1">
      <alignment shrinkToFit="1"/>
      <protection locked="0"/>
    </xf>
    <xf numFmtId="0" fontId="3" fillId="3" borderId="8" xfId="0" applyFont="1" applyFill="1" applyBorder="1" applyAlignment="1" applyProtection="1">
      <alignment shrinkToFit="1"/>
      <protection locked="0"/>
    </xf>
    <xf numFmtId="0" fontId="3" fillId="3" borderId="2" xfId="0" applyFont="1" applyFill="1" applyBorder="1" applyAlignment="1" applyProtection="1">
      <alignment shrinkToFit="1"/>
      <protection locked="0"/>
    </xf>
    <xf numFmtId="168" fontId="3" fillId="3" borderId="7" xfId="1" applyNumberFormat="1" applyFont="1" applyFill="1" applyBorder="1" applyAlignment="1" applyProtection="1">
      <alignment shrinkToFit="1"/>
      <protection locked="0"/>
    </xf>
    <xf numFmtId="168" fontId="3" fillId="3" borderId="2" xfId="1" applyNumberFormat="1" applyFont="1" applyFill="1" applyBorder="1" applyAlignment="1" applyProtection="1">
      <alignment shrinkToFit="1"/>
      <protection locked="0"/>
    </xf>
    <xf numFmtId="168" fontId="3" fillId="3" borderId="8" xfId="1" applyNumberFormat="1" applyFont="1" applyFill="1" applyBorder="1" applyAlignment="1" applyProtection="1">
      <alignment shrinkToFit="1"/>
      <protection locked="0"/>
    </xf>
    <xf numFmtId="0" fontId="3" fillId="3" borderId="0" xfId="3" applyFill="1"/>
    <xf numFmtId="1" fontId="3" fillId="2" borderId="0" xfId="3" applyNumberFormat="1" applyFill="1" applyAlignment="1" applyProtection="1">
      <alignment horizontal="center" shrinkToFit="1"/>
      <protection locked="0"/>
    </xf>
    <xf numFmtId="0" fontId="3" fillId="2" borderId="0" xfId="3" applyFill="1" applyAlignment="1" applyProtection="1">
      <alignment horizontal="left"/>
      <protection locked="0"/>
    </xf>
    <xf numFmtId="0" fontId="3" fillId="0" borderId="0" xfId="3" applyAlignment="1" applyProtection="1">
      <alignment horizontal="left" wrapText="1"/>
      <protection locked="0"/>
    </xf>
    <xf numFmtId="169" fontId="12" fillId="0" borderId="0" xfId="3" applyNumberFormat="1" applyFont="1" applyProtection="1">
      <protection locked="0"/>
    </xf>
    <xf numFmtId="169" fontId="12" fillId="3" borderId="0" xfId="3" applyNumberFormat="1" applyFont="1" applyFill="1" applyAlignment="1" applyProtection="1">
      <alignment horizontal="left" wrapText="1"/>
      <protection locked="0"/>
    </xf>
    <xf numFmtId="0" fontId="3" fillId="5" borderId="8" xfId="3" applyFill="1" applyBorder="1"/>
    <xf numFmtId="0" fontId="0" fillId="0" borderId="16" xfId="0" applyBorder="1" applyAlignment="1">
      <alignment horizontal="right"/>
    </xf>
    <xf numFmtId="0" fontId="6" fillId="0" borderId="0" xfId="0" applyFont="1"/>
    <xf numFmtId="0" fontId="6" fillId="9" borderId="7" xfId="0" applyFont="1" applyFill="1" applyBorder="1"/>
    <xf numFmtId="0" fontId="6" fillId="9" borderId="9" xfId="0" applyFont="1" applyFill="1" applyBorder="1" applyAlignment="1">
      <alignment horizontal="center"/>
    </xf>
    <xf numFmtId="0" fontId="0" fillId="2" borderId="7" xfId="0" applyFill="1" applyBorder="1"/>
    <xf numFmtId="9" fontId="0" fillId="2" borderId="10" xfId="0" applyNumberFormat="1" applyFill="1" applyBorder="1" applyAlignment="1">
      <alignment horizontal="center"/>
    </xf>
    <xf numFmtId="0" fontId="3" fillId="2" borderId="7" xfId="0" applyFont="1" applyFill="1" applyBorder="1" applyAlignment="1" applyProtection="1">
      <alignment wrapText="1"/>
      <protection locked="0"/>
    </xf>
    <xf numFmtId="9" fontId="0" fillId="2" borderId="10" xfId="0" applyNumberFormat="1" applyFill="1" applyBorder="1" applyAlignment="1" applyProtection="1">
      <alignment horizontal="center" wrapText="1"/>
      <protection locked="0"/>
    </xf>
    <xf numFmtId="9" fontId="0" fillId="2" borderId="9" xfId="0" applyNumberFormat="1" applyFill="1" applyBorder="1" applyAlignment="1" applyProtection="1">
      <alignment horizontal="center" wrapText="1"/>
      <protection locked="0"/>
    </xf>
    <xf numFmtId="0" fontId="3" fillId="0" borderId="3" xfId="0" applyFont="1" applyBorder="1" applyAlignment="1" applyProtection="1">
      <alignment wrapText="1"/>
      <protection locked="0"/>
    </xf>
    <xf numFmtId="9" fontId="0" fillId="0" borderId="3" xfId="0" applyNumberFormat="1" applyBorder="1" applyAlignment="1" applyProtection="1">
      <alignment horizontal="center" wrapText="1"/>
      <protection locked="0"/>
    </xf>
    <xf numFmtId="0" fontId="38" fillId="0" borderId="0" xfId="0" applyFont="1"/>
    <xf numFmtId="0" fontId="0" fillId="2" borderId="0" xfId="0" applyFill="1"/>
    <xf numFmtId="0" fontId="0" fillId="2" borderId="0" xfId="0" applyFill="1" applyAlignment="1">
      <alignment horizontal="left" vertical="top"/>
    </xf>
    <xf numFmtId="0" fontId="3" fillId="0" borderId="13" xfId="3" applyBorder="1"/>
    <xf numFmtId="9" fontId="3" fillId="2" borderId="40" xfId="3" applyNumberFormat="1" applyFill="1" applyBorder="1" applyAlignment="1" applyProtection="1">
      <alignment horizontal="center"/>
      <protection locked="0"/>
    </xf>
    <xf numFmtId="0" fontId="6" fillId="0" borderId="20" xfId="3" applyFont="1" applyBorder="1"/>
    <xf numFmtId="9" fontId="3" fillId="0" borderId="41" xfId="3" applyNumberFormat="1" applyBorder="1"/>
    <xf numFmtId="0" fontId="6" fillId="0" borderId="3" xfId="3" applyFont="1" applyBorder="1"/>
    <xf numFmtId="0" fontId="6" fillId="0" borderId="16" xfId="3" applyFont="1" applyBorder="1"/>
    <xf numFmtId="9" fontId="3" fillId="2" borderId="17" xfId="3" applyNumberFormat="1" applyFill="1" applyBorder="1" applyAlignment="1" applyProtection="1">
      <alignment horizontal="center"/>
      <protection locked="0"/>
    </xf>
    <xf numFmtId="9" fontId="3" fillId="0" borderId="21" xfId="3" applyNumberFormat="1" applyBorder="1"/>
    <xf numFmtId="9" fontId="3" fillId="0" borderId="17" xfId="3" applyNumberFormat="1" applyBorder="1" applyAlignment="1" applyProtection="1">
      <alignment horizontal="center"/>
      <protection locked="0"/>
    </xf>
    <xf numFmtId="9" fontId="3" fillId="0" borderId="1" xfId="3" applyNumberFormat="1" applyBorder="1" applyAlignment="1" applyProtection="1">
      <alignment horizontal="center"/>
      <protection locked="0"/>
    </xf>
    <xf numFmtId="0" fontId="3" fillId="2" borderId="1" xfId="3" applyFill="1" applyBorder="1" applyAlignment="1" applyProtection="1">
      <alignment shrinkToFit="1"/>
      <protection locked="0"/>
    </xf>
    <xf numFmtId="0" fontId="3" fillId="2" borderId="2" xfId="3" applyFill="1" applyBorder="1" applyAlignment="1" applyProtection="1">
      <alignment shrinkToFit="1"/>
      <protection locked="0"/>
    </xf>
    <xf numFmtId="0" fontId="3" fillId="2" borderId="1" xfId="3" applyFill="1" applyBorder="1" applyProtection="1">
      <protection locked="0"/>
    </xf>
    <xf numFmtId="9" fontId="3" fillId="0" borderId="1" xfId="3" applyNumberFormat="1" applyBorder="1"/>
    <xf numFmtId="9" fontId="3" fillId="0" borderId="0" xfId="3" applyNumberFormat="1" applyAlignment="1" applyProtection="1">
      <alignment horizontal="right"/>
      <protection locked="0"/>
    </xf>
    <xf numFmtId="0" fontId="39" fillId="5" borderId="7" xfId="3" applyFont="1" applyFill="1" applyBorder="1" applyAlignment="1">
      <alignment horizontal="left"/>
    </xf>
    <xf numFmtId="9" fontId="3" fillId="2" borderId="5" xfId="3" applyNumberFormat="1" applyFill="1" applyBorder="1" applyAlignment="1" applyProtection="1">
      <alignment horizontal="center"/>
      <protection locked="0"/>
    </xf>
    <xf numFmtId="9" fontId="3" fillId="2" borderId="2" xfId="3" applyNumberFormat="1" applyFill="1" applyBorder="1" applyAlignment="1" applyProtection="1">
      <alignment horizontal="center"/>
      <protection locked="0"/>
    </xf>
    <xf numFmtId="0" fontId="39" fillId="0" borderId="0" xfId="3" applyFont="1"/>
    <xf numFmtId="0" fontId="3" fillId="3" borderId="2" xfId="0" applyFont="1" applyFill="1" applyBorder="1" applyAlignment="1" applyProtection="1">
      <alignment horizontal="center" shrinkToFit="1"/>
      <protection locked="0"/>
    </xf>
    <xf numFmtId="0" fontId="3" fillId="3" borderId="8" xfId="0" applyFont="1" applyFill="1" applyBorder="1" applyAlignment="1" applyProtection="1">
      <alignment horizontal="center" shrinkToFit="1"/>
      <protection locked="0"/>
    </xf>
    <xf numFmtId="0" fontId="3" fillId="2" borderId="8" xfId="0" applyFont="1" applyFill="1" applyBorder="1" applyAlignment="1" applyProtection="1">
      <alignment horizontal="center" shrinkToFit="1"/>
      <protection locked="0"/>
    </xf>
    <xf numFmtId="0" fontId="36" fillId="0" borderId="0" xfId="5"/>
    <xf numFmtId="0" fontId="3" fillId="0" borderId="42" xfId="3" applyBorder="1"/>
    <xf numFmtId="171" fontId="40" fillId="0" borderId="0" xfId="0" applyNumberFormat="1" applyFont="1" applyAlignment="1">
      <alignment horizontal="left"/>
    </xf>
    <xf numFmtId="0" fontId="40" fillId="0" borderId="0" xfId="0" applyFont="1" applyAlignment="1">
      <alignment horizontal="left" wrapText="1"/>
    </xf>
    <xf numFmtId="0" fontId="40" fillId="0" borderId="0" xfId="0" applyFont="1" applyAlignment="1">
      <alignment horizontal="left"/>
    </xf>
    <xf numFmtId="0" fontId="41" fillId="0" borderId="0" xfId="0" applyFont="1" applyAlignment="1">
      <alignment horizontal="left" wrapText="1"/>
    </xf>
    <xf numFmtId="171" fontId="40" fillId="0" borderId="0" xfId="6" applyNumberFormat="1" applyFont="1" applyAlignment="1">
      <alignment horizontal="left"/>
    </xf>
    <xf numFmtId="0" fontId="40" fillId="0" borderId="0" xfId="6" applyFont="1" applyAlignment="1">
      <alignment horizontal="left" wrapText="1"/>
    </xf>
    <xf numFmtId="171" fontId="40" fillId="0" borderId="0" xfId="0" applyNumberFormat="1" applyFont="1" applyAlignment="1">
      <alignment horizontal="left" wrapText="1"/>
    </xf>
    <xf numFmtId="14" fontId="3" fillId="2" borderId="8" xfId="0" applyNumberFormat="1" applyFont="1" applyFill="1" applyBorder="1" applyAlignment="1" applyProtection="1">
      <alignment horizontal="center" shrinkToFit="1"/>
      <protection locked="0"/>
    </xf>
    <xf numFmtId="1" fontId="3" fillId="2" borderId="2" xfId="3" applyNumberFormat="1" applyFill="1" applyBorder="1" applyAlignment="1" applyProtection="1">
      <alignment horizontal="center"/>
      <protection locked="0"/>
    </xf>
    <xf numFmtId="164" fontId="3" fillId="4" borderId="0" xfId="3" applyNumberFormat="1" applyFill="1" applyAlignment="1">
      <alignment wrapText="1"/>
    </xf>
    <xf numFmtId="0" fontId="42" fillId="2" borderId="9" xfId="0" applyFont="1" applyFill="1" applyBorder="1"/>
    <xf numFmtId="0" fontId="27" fillId="3" borderId="9" xfId="0" applyFont="1" applyFill="1" applyBorder="1"/>
    <xf numFmtId="0" fontId="27" fillId="2" borderId="9" xfId="0" applyFont="1" applyFill="1" applyBorder="1"/>
    <xf numFmtId="0" fontId="36" fillId="0" borderId="0" xfId="5" applyAlignment="1">
      <alignment vertical="center"/>
    </xf>
    <xf numFmtId="0" fontId="3" fillId="3" borderId="7" xfId="0" applyFont="1" applyFill="1" applyBorder="1" applyAlignment="1" applyProtection="1">
      <alignment horizontal="center" shrinkToFit="1"/>
      <protection locked="0"/>
    </xf>
    <xf numFmtId="0" fontId="3" fillId="2" borderId="7" xfId="0" applyFont="1" applyFill="1" applyBorder="1" applyAlignment="1" applyProtection="1">
      <alignment horizontal="center" shrinkToFit="1"/>
      <protection locked="0"/>
    </xf>
    <xf numFmtId="0" fontId="43" fillId="0" borderId="0" xfId="0" applyFont="1"/>
    <xf numFmtId="0" fontId="3" fillId="12" borderId="42" xfId="3" applyFill="1" applyBorder="1"/>
    <xf numFmtId="164" fontId="3" fillId="12" borderId="42" xfId="3" applyNumberFormat="1" applyFill="1" applyBorder="1"/>
    <xf numFmtId="0" fontId="0" fillId="12" borderId="42" xfId="0" applyFill="1" applyBorder="1"/>
    <xf numFmtId="14" fontId="0" fillId="12" borderId="42" xfId="0" applyNumberFormat="1" applyFill="1" applyBorder="1"/>
    <xf numFmtId="49" fontId="3" fillId="4" borderId="8" xfId="0" applyNumberFormat="1" applyFont="1" applyFill="1" applyBorder="1" applyAlignment="1" applyProtection="1">
      <alignment horizontal="center" shrinkToFit="1"/>
      <protection locked="0"/>
    </xf>
    <xf numFmtId="0" fontId="32" fillId="2" borderId="1" xfId="0" applyFont="1" applyFill="1" applyBorder="1"/>
    <xf numFmtId="0" fontId="42" fillId="2" borderId="9" xfId="0" applyFont="1" applyFill="1" applyBorder="1" applyAlignment="1">
      <alignment horizontal="center" vertical="center"/>
    </xf>
    <xf numFmtId="0" fontId="3" fillId="0" borderId="0" xfId="3" applyAlignment="1">
      <alignment horizontal="center" vertical="center"/>
    </xf>
    <xf numFmtId="0" fontId="3" fillId="2" borderId="2" xfId="0" applyFont="1" applyFill="1" applyBorder="1" applyAlignment="1" applyProtection="1">
      <alignment horizontal="center" shrinkToFit="1"/>
      <protection locked="0"/>
    </xf>
    <xf numFmtId="14" fontId="3" fillId="2" borderId="7" xfId="0" applyNumberFormat="1" applyFont="1" applyFill="1" applyBorder="1" applyAlignment="1" applyProtection="1">
      <alignment horizontal="center" shrinkToFit="1"/>
      <protection locked="0"/>
    </xf>
    <xf numFmtId="49" fontId="3" fillId="4" borderId="7" xfId="0" applyNumberFormat="1" applyFont="1" applyFill="1" applyBorder="1" applyAlignment="1" applyProtection="1">
      <alignment horizontal="center" shrinkToFit="1"/>
      <protection locked="0"/>
    </xf>
    <xf numFmtId="1" fontId="44" fillId="0" borderId="43" xfId="0" applyNumberFormat="1" applyFont="1" applyBorder="1" applyAlignment="1">
      <alignment horizontal="left" vertical="top" indent="3" shrinkToFit="1"/>
    </xf>
    <xf numFmtId="0" fontId="45" fillId="0" borderId="43" xfId="0" applyFont="1" applyBorder="1" applyAlignment="1">
      <alignment horizontal="left" vertical="top" wrapText="1"/>
    </xf>
    <xf numFmtId="172" fontId="44" fillId="0" borderId="43" xfId="0" applyNumberFormat="1" applyFont="1" applyBorder="1" applyAlignment="1">
      <alignment horizontal="right" vertical="top" shrinkToFit="1"/>
    </xf>
    <xf numFmtId="1" fontId="44" fillId="0" borderId="44" xfId="0" applyNumberFormat="1" applyFont="1" applyBorder="1" applyAlignment="1">
      <alignment horizontal="left" vertical="top" indent="3" shrinkToFit="1"/>
    </xf>
    <xf numFmtId="0" fontId="45" fillId="0" borderId="44" xfId="0" applyFont="1" applyBorder="1" applyAlignment="1">
      <alignment horizontal="left" vertical="top" wrapText="1"/>
    </xf>
    <xf numFmtId="172" fontId="44" fillId="0" borderId="44" xfId="0" applyNumberFormat="1" applyFont="1" applyBorder="1" applyAlignment="1">
      <alignment horizontal="right" vertical="top" shrinkToFit="1"/>
    </xf>
    <xf numFmtId="0" fontId="6" fillId="6" borderId="2" xfId="0" applyFont="1" applyFill="1" applyBorder="1"/>
    <xf numFmtId="49" fontId="3" fillId="4" borderId="9" xfId="0" applyNumberFormat="1" applyFont="1" applyFill="1" applyBorder="1" applyAlignment="1" applyProtection="1">
      <alignment horizontal="center" shrinkToFit="1"/>
      <protection locked="0"/>
    </xf>
    <xf numFmtId="0" fontId="3" fillId="12" borderId="45" xfId="3" applyFill="1" applyBorder="1"/>
    <xf numFmtId="0" fontId="45" fillId="0" borderId="46" xfId="0" applyFont="1" applyBorder="1" applyAlignment="1">
      <alignment horizontal="left" vertical="top" wrapText="1" indent="3"/>
    </xf>
    <xf numFmtId="0" fontId="46" fillId="0" borderId="46" xfId="0" applyFont="1" applyBorder="1" applyAlignment="1">
      <alignment horizontal="left" vertical="top" wrapText="1"/>
    </xf>
    <xf numFmtId="0" fontId="3" fillId="0" borderId="9" xfId="3" applyBorder="1"/>
    <xf numFmtId="0" fontId="3" fillId="0" borderId="1" xfId="0" applyFont="1" applyBorder="1" applyProtection="1">
      <protection locked="0"/>
    </xf>
    <xf numFmtId="0" fontId="47" fillId="0" borderId="0" xfId="0" applyFont="1"/>
    <xf numFmtId="14" fontId="3" fillId="0" borderId="9" xfId="3" applyNumberFormat="1" applyBorder="1"/>
    <xf numFmtId="0" fontId="48" fillId="0" borderId="0" xfId="0" applyFont="1"/>
    <xf numFmtId="14" fontId="3" fillId="12" borderId="42" xfId="3" applyNumberFormat="1" applyFill="1" applyBorder="1"/>
    <xf numFmtId="0" fontId="36" fillId="4" borderId="1" xfId="5" quotePrefix="1" applyFill="1" applyBorder="1"/>
    <xf numFmtId="0" fontId="32" fillId="2" borderId="0" xfId="0" applyFont="1" applyFill="1" applyAlignment="1">
      <alignment horizontal="center"/>
    </xf>
    <xf numFmtId="0" fontId="39" fillId="0" borderId="7" xfId="3" applyFont="1" applyBorder="1" applyAlignment="1">
      <alignment horizontal="right"/>
    </xf>
    <xf numFmtId="0" fontId="39" fillId="0" borderId="2" xfId="3" applyFont="1" applyBorder="1" applyAlignment="1">
      <alignment horizontal="right"/>
    </xf>
    <xf numFmtId="0" fontId="39" fillId="0" borderId="8" xfId="3" applyFont="1" applyBorder="1" applyAlignment="1">
      <alignment horizontal="right"/>
    </xf>
    <xf numFmtId="0" fontId="3" fillId="2" borderId="7" xfId="0" applyFont="1" applyFill="1" applyBorder="1" applyAlignment="1">
      <alignment horizontal="center" wrapText="1"/>
    </xf>
    <xf numFmtId="0" fontId="3" fillId="2" borderId="2" xfId="0" applyFont="1" applyFill="1" applyBorder="1" applyAlignment="1">
      <alignment horizontal="center" wrapText="1"/>
    </xf>
    <xf numFmtId="0" fontId="3" fillId="2" borderId="8" xfId="0" applyFont="1" applyFill="1" applyBorder="1" applyAlignment="1">
      <alignment horizontal="center" wrapText="1"/>
    </xf>
    <xf numFmtId="0" fontId="19" fillId="0" borderId="11" xfId="0" applyFont="1" applyBorder="1" applyAlignment="1">
      <alignment horizontal="left" wrapText="1"/>
    </xf>
    <xf numFmtId="0" fontId="19" fillId="0" borderId="2" xfId="0" applyFont="1" applyBorder="1" applyAlignment="1">
      <alignment horizontal="left" wrapText="1"/>
    </xf>
    <xf numFmtId="0" fontId="19" fillId="0" borderId="8" xfId="0" applyFont="1" applyBorder="1" applyAlignment="1">
      <alignment horizontal="left" wrapText="1"/>
    </xf>
    <xf numFmtId="0" fontId="11" fillId="0" borderId="0" xfId="3" applyFont="1" applyAlignment="1">
      <alignment horizontal="center"/>
    </xf>
    <xf numFmtId="0" fontId="3" fillId="0" borderId="22" xfId="3" applyBorder="1" applyAlignment="1">
      <alignment horizontal="left" wrapText="1"/>
    </xf>
    <xf numFmtId="0" fontId="3" fillId="0" borderId="6" xfId="3" applyBorder="1" applyAlignment="1">
      <alignment horizontal="left" wrapText="1"/>
    </xf>
    <xf numFmtId="0" fontId="6" fillId="5" borderId="7" xfId="3" applyFont="1" applyFill="1" applyBorder="1" applyAlignment="1">
      <alignment horizontal="center"/>
    </xf>
    <xf numFmtId="0" fontId="6" fillId="5" borderId="2" xfId="3" applyFont="1" applyFill="1" applyBorder="1" applyAlignment="1">
      <alignment horizontal="center"/>
    </xf>
    <xf numFmtId="0" fontId="6" fillId="5" borderId="8" xfId="3" applyFont="1" applyFill="1" applyBorder="1" applyAlignment="1">
      <alignment horizontal="center"/>
    </xf>
    <xf numFmtId="9" fontId="3" fillId="2" borderId="7" xfId="3" applyNumberFormat="1" applyFill="1" applyBorder="1" applyAlignment="1" applyProtection="1">
      <alignment horizontal="center"/>
      <protection locked="0"/>
    </xf>
    <xf numFmtId="9" fontId="3" fillId="2" borderId="8" xfId="3" applyNumberFormat="1" applyFill="1" applyBorder="1" applyAlignment="1" applyProtection="1">
      <alignment horizontal="center"/>
      <protection locked="0"/>
    </xf>
    <xf numFmtId="0" fontId="3" fillId="2" borderId="7" xfId="0" applyFont="1" applyFill="1" applyBorder="1" applyAlignment="1" applyProtection="1">
      <alignment horizontal="center" shrinkToFit="1"/>
      <protection locked="0"/>
    </xf>
    <xf numFmtId="0" fontId="3" fillId="2" borderId="2" xfId="0" applyFont="1" applyFill="1" applyBorder="1" applyAlignment="1" applyProtection="1">
      <alignment horizontal="center" shrinkToFit="1"/>
      <protection locked="0"/>
    </xf>
    <xf numFmtId="0" fontId="3" fillId="2" borderId="8" xfId="0" applyFont="1" applyFill="1" applyBorder="1" applyAlignment="1" applyProtection="1">
      <alignment horizontal="center" shrinkToFit="1"/>
      <protection locked="0"/>
    </xf>
    <xf numFmtId="0" fontId="0" fillId="7" borderId="7" xfId="0" applyFill="1" applyBorder="1" applyAlignment="1">
      <alignment horizontal="center"/>
    </xf>
    <xf numFmtId="0" fontId="0" fillId="7" borderId="2" xfId="0" applyFill="1" applyBorder="1" applyAlignment="1">
      <alignment horizontal="center"/>
    </xf>
    <xf numFmtId="0" fontId="0" fillId="7" borderId="8" xfId="0" applyFill="1" applyBorder="1" applyAlignment="1">
      <alignment horizontal="center"/>
    </xf>
    <xf numFmtId="0" fontId="6" fillId="6" borderId="7" xfId="0" applyFont="1" applyFill="1" applyBorder="1" applyAlignment="1">
      <alignment horizontal="center"/>
    </xf>
    <xf numFmtId="0" fontId="6" fillId="6" borderId="2" xfId="0" applyFont="1" applyFill="1" applyBorder="1" applyAlignment="1">
      <alignment horizontal="center"/>
    </xf>
    <xf numFmtId="0" fontId="6" fillId="6" borderId="8" xfId="0" applyFont="1" applyFill="1" applyBorder="1" applyAlignment="1">
      <alignment horizontal="center"/>
    </xf>
    <xf numFmtId="1" fontId="0" fillId="2" borderId="7" xfId="0" applyNumberFormat="1" applyFill="1" applyBorder="1" applyAlignment="1" applyProtection="1">
      <alignment horizontal="center"/>
      <protection locked="0"/>
    </xf>
    <xf numFmtId="1" fontId="0" fillId="2" borderId="2" xfId="0" applyNumberFormat="1" applyFill="1" applyBorder="1" applyAlignment="1" applyProtection="1">
      <alignment horizontal="center"/>
      <protection locked="0"/>
    </xf>
    <xf numFmtId="1" fontId="0" fillId="2" borderId="8" xfId="0" applyNumberFormat="1" applyFill="1" applyBorder="1" applyAlignment="1" applyProtection="1">
      <alignment horizontal="center"/>
      <protection locked="0"/>
    </xf>
    <xf numFmtId="0" fontId="3" fillId="2" borderId="0" xfId="3" applyFill="1" applyAlignment="1" applyProtection="1">
      <alignment horizontal="center"/>
      <protection locked="0"/>
    </xf>
    <xf numFmtId="0" fontId="3" fillId="2" borderId="2" xfId="3" applyFill="1" applyBorder="1" applyAlignment="1" applyProtection="1">
      <alignment horizontal="center"/>
      <protection locked="0"/>
    </xf>
    <xf numFmtId="1" fontId="3" fillId="2" borderId="2" xfId="3" applyNumberFormat="1" applyFill="1" applyBorder="1" applyAlignment="1" applyProtection="1">
      <alignment horizontal="center"/>
      <protection locked="0"/>
    </xf>
    <xf numFmtId="0" fontId="3" fillId="2" borderId="1" xfId="3" applyFill="1" applyBorder="1" applyAlignment="1" applyProtection="1">
      <alignment horizontal="center"/>
      <protection locked="0"/>
    </xf>
    <xf numFmtId="0" fontId="6" fillId="6" borderId="7" xfId="3" applyFont="1" applyFill="1" applyBorder="1" applyAlignment="1">
      <alignment horizontal="center" vertical="center" wrapText="1"/>
    </xf>
    <xf numFmtId="0" fontId="6" fillId="6" borderId="2" xfId="3" applyFont="1" applyFill="1" applyBorder="1" applyAlignment="1">
      <alignment horizontal="center" vertical="center" wrapText="1"/>
    </xf>
    <xf numFmtId="0" fontId="6" fillId="6" borderId="8" xfId="3" applyFont="1" applyFill="1" applyBorder="1" applyAlignment="1">
      <alignment horizontal="center" vertical="center" wrapText="1"/>
    </xf>
    <xf numFmtId="0" fontId="3" fillId="3" borderId="7" xfId="0" applyFont="1" applyFill="1" applyBorder="1" applyAlignment="1" applyProtection="1">
      <alignment horizontal="center" shrinkToFit="1"/>
      <protection locked="0"/>
    </xf>
    <xf numFmtId="0" fontId="3" fillId="3" borderId="2" xfId="0" applyFont="1" applyFill="1" applyBorder="1" applyAlignment="1" applyProtection="1">
      <alignment horizontal="center" shrinkToFit="1"/>
      <protection locked="0"/>
    </xf>
    <xf numFmtId="0" fontId="3" fillId="3" borderId="8" xfId="0" applyFont="1" applyFill="1" applyBorder="1" applyAlignment="1" applyProtection="1">
      <alignment horizontal="center" shrinkToFit="1"/>
      <protection locked="0"/>
    </xf>
    <xf numFmtId="168" fontId="3" fillId="2" borderId="7" xfId="1" applyNumberFormat="1" applyFont="1" applyFill="1" applyBorder="1" applyAlignment="1" applyProtection="1">
      <alignment horizontal="center" shrinkToFit="1"/>
      <protection locked="0"/>
    </xf>
    <xf numFmtId="168" fontId="3" fillId="2" borderId="2" xfId="1" applyNumberFormat="1" applyFont="1" applyFill="1" applyBorder="1" applyAlignment="1" applyProtection="1">
      <alignment horizontal="center" shrinkToFit="1"/>
      <protection locked="0"/>
    </xf>
    <xf numFmtId="168" fontId="3" fillId="2" borderId="8" xfId="1" applyNumberFormat="1" applyFont="1" applyFill="1" applyBorder="1" applyAlignment="1" applyProtection="1">
      <alignment horizontal="center" shrinkToFit="1"/>
      <protection locked="0"/>
    </xf>
    <xf numFmtId="14" fontId="0" fillId="7" borderId="7" xfId="0" applyNumberFormat="1" applyFill="1" applyBorder="1" applyAlignment="1">
      <alignment horizontal="center"/>
    </xf>
    <xf numFmtId="14" fontId="3" fillId="2" borderId="7" xfId="0" applyNumberFormat="1" applyFont="1" applyFill="1" applyBorder="1" applyAlignment="1" applyProtection="1">
      <alignment horizontal="center" shrinkToFit="1"/>
      <protection locked="0"/>
    </xf>
    <xf numFmtId="14" fontId="3" fillId="2" borderId="2" xfId="0" applyNumberFormat="1" applyFont="1" applyFill="1" applyBorder="1" applyAlignment="1" applyProtection="1">
      <alignment horizontal="center" shrinkToFit="1"/>
      <protection locked="0"/>
    </xf>
    <xf numFmtId="169" fontId="12" fillId="2" borderId="7" xfId="3" applyNumberFormat="1" applyFont="1" applyFill="1" applyBorder="1" applyAlignment="1" applyProtection="1">
      <alignment horizontal="center"/>
      <protection locked="0"/>
    </xf>
    <xf numFmtId="169" fontId="12" fillId="2" borderId="8" xfId="3" applyNumberFormat="1" applyFont="1" applyFill="1" applyBorder="1" applyAlignment="1" applyProtection="1">
      <alignment horizontal="center"/>
      <protection locked="0"/>
    </xf>
    <xf numFmtId="37" fontId="0" fillId="2" borderId="7" xfId="4" applyNumberFormat="1" applyFont="1" applyFill="1" applyBorder="1" applyAlignment="1" applyProtection="1">
      <alignment horizontal="center"/>
      <protection locked="0"/>
    </xf>
    <xf numFmtId="37" fontId="0" fillId="2" borderId="2" xfId="4" applyNumberFormat="1" applyFont="1" applyFill="1" applyBorder="1" applyAlignment="1" applyProtection="1">
      <alignment horizontal="center"/>
      <protection locked="0"/>
    </xf>
    <xf numFmtId="37" fontId="0" fillId="2" borderId="8" xfId="4" applyNumberFormat="1" applyFont="1" applyFill="1" applyBorder="1" applyAlignment="1" applyProtection="1">
      <alignment horizontal="center"/>
      <protection locked="0"/>
    </xf>
    <xf numFmtId="3" fontId="0" fillId="2" borderId="7" xfId="0" applyNumberFormat="1" applyFill="1" applyBorder="1" applyAlignment="1" applyProtection="1">
      <alignment horizontal="center"/>
      <protection locked="0"/>
    </xf>
    <xf numFmtId="3" fontId="0" fillId="2" borderId="2" xfId="0" applyNumberFormat="1" applyFill="1" applyBorder="1" applyAlignment="1" applyProtection="1">
      <alignment horizontal="center"/>
      <protection locked="0"/>
    </xf>
    <xf numFmtId="3" fontId="0" fillId="2" borderId="8" xfId="0" applyNumberFormat="1" applyFill="1" applyBorder="1" applyAlignment="1" applyProtection="1">
      <alignment horizontal="center"/>
      <protection locked="0"/>
    </xf>
    <xf numFmtId="169" fontId="0" fillId="2" borderId="7" xfId="0" applyNumberFormat="1" applyFill="1" applyBorder="1" applyAlignment="1" applyProtection="1">
      <alignment horizontal="center"/>
      <protection locked="0"/>
    </xf>
    <xf numFmtId="169" fontId="0" fillId="2" borderId="2" xfId="0" applyNumberFormat="1" applyFill="1" applyBorder="1" applyAlignment="1" applyProtection="1">
      <alignment horizontal="center"/>
      <protection locked="0"/>
    </xf>
    <xf numFmtId="169" fontId="0" fillId="2" borderId="8" xfId="0" applyNumberFormat="1" applyFill="1" applyBorder="1" applyAlignment="1" applyProtection="1">
      <alignment horizontal="center"/>
      <protection locked="0"/>
    </xf>
    <xf numFmtId="49" fontId="3" fillId="4" borderId="7" xfId="0" applyNumberFormat="1" applyFont="1" applyFill="1" applyBorder="1" applyAlignment="1" applyProtection="1">
      <alignment horizontal="center" shrinkToFit="1"/>
      <protection locked="0"/>
    </xf>
    <xf numFmtId="49" fontId="3" fillId="4" borderId="8" xfId="0" applyNumberFormat="1" applyFont="1" applyFill="1" applyBorder="1" applyAlignment="1" applyProtection="1">
      <alignment horizontal="center" shrinkToFit="1"/>
      <protection locked="0"/>
    </xf>
    <xf numFmtId="171" fontId="3" fillId="2" borderId="2" xfId="3" applyNumberFormat="1" applyFill="1" applyBorder="1" applyAlignment="1" applyProtection="1">
      <alignment horizontal="center"/>
      <protection locked="0"/>
    </xf>
    <xf numFmtId="164" fontId="3" fillId="2" borderId="2" xfId="3" applyNumberFormat="1" applyFill="1" applyBorder="1" applyAlignment="1" applyProtection="1">
      <alignment horizontal="center"/>
      <protection locked="0"/>
    </xf>
    <xf numFmtId="0" fontId="36" fillId="0" borderId="2" xfId="5" applyBorder="1" applyAlignment="1">
      <alignment horizontal="center"/>
    </xf>
    <xf numFmtId="0" fontId="3" fillId="0" borderId="2" xfId="3" applyBorder="1" applyAlignment="1">
      <alignment horizontal="center"/>
    </xf>
    <xf numFmtId="0" fontId="3" fillId="3" borderId="2" xfId="3" applyFill="1" applyBorder="1" applyAlignment="1" applyProtection="1">
      <alignment horizontal="center"/>
      <protection locked="0"/>
    </xf>
    <xf numFmtId="14" fontId="3" fillId="2" borderId="8" xfId="0" applyNumberFormat="1" applyFont="1" applyFill="1" applyBorder="1" applyAlignment="1" applyProtection="1">
      <alignment horizontal="center" shrinkToFit="1"/>
      <protection locked="0"/>
    </xf>
    <xf numFmtId="3" fontId="3" fillId="2" borderId="7" xfId="0" applyNumberFormat="1" applyFont="1" applyFill="1" applyBorder="1" applyAlignment="1" applyProtection="1">
      <alignment horizontal="center" shrinkToFit="1"/>
      <protection locked="0"/>
    </xf>
    <xf numFmtId="49" fontId="3" fillId="4" borderId="2" xfId="0" applyNumberFormat="1" applyFont="1" applyFill="1" applyBorder="1" applyAlignment="1" applyProtection="1">
      <alignment horizontal="center" shrinkToFit="1"/>
      <protection locked="0"/>
    </xf>
    <xf numFmtId="3" fontId="3" fillId="3" borderId="7" xfId="0" applyNumberFormat="1" applyFont="1" applyFill="1" applyBorder="1" applyAlignment="1" applyProtection="1">
      <alignment horizontal="center" shrinkToFit="1"/>
      <protection locked="0"/>
    </xf>
    <xf numFmtId="0" fontId="3" fillId="0" borderId="1" xfId="3" applyBorder="1" applyAlignment="1">
      <alignment horizontal="center"/>
    </xf>
    <xf numFmtId="169" fontId="12" fillId="2" borderId="7" xfId="3" applyNumberFormat="1" applyFont="1" applyFill="1" applyBorder="1" applyAlignment="1" applyProtection="1">
      <alignment horizontal="center" shrinkToFit="1"/>
      <protection locked="0"/>
    </xf>
    <xf numFmtId="169" fontId="12" fillId="2" borderId="2" xfId="3" applyNumberFormat="1" applyFont="1" applyFill="1" applyBorder="1" applyAlignment="1" applyProtection="1">
      <alignment horizontal="center" shrinkToFit="1"/>
      <protection locked="0"/>
    </xf>
    <xf numFmtId="169" fontId="12" fillId="2" borderId="8" xfId="3" applyNumberFormat="1" applyFont="1" applyFill="1" applyBorder="1" applyAlignment="1" applyProtection="1">
      <alignment horizontal="center" shrinkToFit="1"/>
      <protection locked="0"/>
    </xf>
    <xf numFmtId="169" fontId="12" fillId="2" borderId="9" xfId="3" applyNumberFormat="1" applyFont="1" applyFill="1" applyBorder="1" applyAlignment="1" applyProtection="1">
      <alignment horizontal="center" shrinkToFit="1"/>
      <protection locked="0"/>
    </xf>
    <xf numFmtId="0" fontId="3" fillId="2" borderId="1" xfId="3" applyFill="1" applyBorder="1" applyAlignment="1">
      <alignment horizontal="center"/>
    </xf>
    <xf numFmtId="0" fontId="3" fillId="6" borderId="11" xfId="3" applyFill="1" applyBorder="1" applyAlignment="1">
      <alignment horizontal="center" wrapText="1"/>
    </xf>
    <xf numFmtId="0" fontId="3" fillId="6" borderId="2" xfId="3" applyFill="1" applyBorder="1" applyAlignment="1">
      <alignment horizontal="center" wrapText="1"/>
    </xf>
    <xf numFmtId="0" fontId="3" fillId="6" borderId="8" xfId="3" applyFill="1" applyBorder="1" applyAlignment="1">
      <alignment horizontal="center" wrapText="1"/>
    </xf>
    <xf numFmtId="0" fontId="6" fillId="9" borderId="7" xfId="3" applyFont="1" applyFill="1" applyBorder="1" applyAlignment="1">
      <alignment horizontal="center"/>
    </xf>
    <xf numFmtId="0" fontId="6" fillId="9" borderId="2" xfId="3" applyFont="1" applyFill="1" applyBorder="1" applyAlignment="1">
      <alignment horizontal="center"/>
    </xf>
    <xf numFmtId="0" fontId="6" fillId="9" borderId="8" xfId="3" applyFont="1" applyFill="1" applyBorder="1" applyAlignment="1">
      <alignment horizontal="center"/>
    </xf>
    <xf numFmtId="0" fontId="5" fillId="3" borderId="6" xfId="3" applyFont="1" applyFill="1" applyBorder="1" applyAlignment="1">
      <alignment horizontal="center"/>
    </xf>
    <xf numFmtId="0" fontId="3" fillId="0" borderId="0" xfId="3" applyAlignment="1">
      <alignment horizontal="right"/>
    </xf>
    <xf numFmtId="0" fontId="3" fillId="0" borderId="0" xfId="3" applyAlignment="1">
      <alignment horizontal="center" shrinkToFit="1"/>
    </xf>
    <xf numFmtId="0" fontId="3" fillId="2" borderId="1" xfId="3" applyFill="1" applyBorder="1" applyAlignment="1" applyProtection="1">
      <alignment horizontal="center" wrapText="1" shrinkToFit="1"/>
      <protection locked="0"/>
    </xf>
    <xf numFmtId="0" fontId="3" fillId="2" borderId="1" xfId="3" applyFill="1" applyBorder="1" applyAlignment="1" applyProtection="1">
      <alignment horizontal="center" shrinkToFit="1"/>
      <protection locked="0"/>
    </xf>
    <xf numFmtId="0" fontId="3" fillId="2" borderId="2" xfId="3" applyFill="1" applyBorder="1" applyAlignment="1" applyProtection="1">
      <alignment horizontal="center" shrinkToFit="1"/>
      <protection locked="0"/>
    </xf>
    <xf numFmtId="0" fontId="3" fillId="6" borderId="11" xfId="3" applyFill="1" applyBorder="1" applyAlignment="1">
      <alignment horizontal="left" wrapText="1"/>
    </xf>
    <xf numFmtId="0" fontId="3" fillId="6" borderId="8" xfId="3" applyFill="1" applyBorder="1" applyAlignment="1">
      <alignment horizontal="left" wrapText="1"/>
    </xf>
    <xf numFmtId="0" fontId="36" fillId="3" borderId="2" xfId="5" applyFill="1" applyBorder="1" applyAlignment="1">
      <alignment horizontal="center"/>
    </xf>
    <xf numFmtId="0" fontId="3" fillId="3" borderId="2" xfId="3" applyFill="1" applyBorder="1" applyAlignment="1">
      <alignment horizontal="center"/>
    </xf>
    <xf numFmtId="0" fontId="9" fillId="6" borderId="7" xfId="3" applyFont="1" applyFill="1" applyBorder="1" applyAlignment="1">
      <alignment horizontal="center" vertical="center"/>
    </xf>
    <xf numFmtId="0" fontId="9" fillId="6" borderId="8" xfId="3" applyFont="1" applyFill="1" applyBorder="1" applyAlignment="1">
      <alignment horizontal="center" vertical="center"/>
    </xf>
    <xf numFmtId="0" fontId="8" fillId="2" borderId="2" xfId="3" applyFont="1" applyFill="1" applyBorder="1" applyAlignment="1" applyProtection="1">
      <alignment horizontal="center" wrapText="1" shrinkToFit="1"/>
      <protection locked="0"/>
    </xf>
    <xf numFmtId="165" fontId="3" fillId="2" borderId="5" xfId="3" applyNumberFormat="1" applyFill="1" applyBorder="1" applyAlignment="1" applyProtection="1">
      <alignment horizontal="center"/>
      <protection locked="0"/>
    </xf>
    <xf numFmtId="169" fontId="12" fillId="2" borderId="9" xfId="3" applyNumberFormat="1" applyFont="1" applyFill="1" applyBorder="1" applyAlignment="1" applyProtection="1">
      <alignment horizontal="center" wrapText="1"/>
      <protection locked="0"/>
    </xf>
    <xf numFmtId="169" fontId="12" fillId="2" borderId="7" xfId="3" applyNumberFormat="1" applyFont="1" applyFill="1" applyBorder="1" applyAlignment="1" applyProtection="1">
      <alignment horizontal="center" wrapText="1"/>
      <protection locked="0"/>
    </xf>
    <xf numFmtId="169" fontId="12" fillId="2" borderId="8" xfId="3" applyNumberFormat="1" applyFont="1" applyFill="1" applyBorder="1" applyAlignment="1" applyProtection="1">
      <alignment horizontal="center" wrapText="1"/>
      <protection locked="0"/>
    </xf>
    <xf numFmtId="0" fontId="9" fillId="6" borderId="7" xfId="3" applyFont="1" applyFill="1" applyBorder="1" applyAlignment="1">
      <alignment horizontal="center" shrinkToFit="1"/>
    </xf>
    <xf numFmtId="0" fontId="9" fillId="6" borderId="8" xfId="3" applyFont="1" applyFill="1" applyBorder="1" applyAlignment="1">
      <alignment horizontal="center" shrinkToFit="1"/>
    </xf>
    <xf numFmtId="0" fontId="3" fillId="6" borderId="9" xfId="3" applyFill="1" applyBorder="1" applyAlignment="1">
      <alignment horizontal="center"/>
    </xf>
    <xf numFmtId="169" fontId="9" fillId="6" borderId="7" xfId="3" applyNumberFormat="1" applyFont="1" applyFill="1" applyBorder="1" applyAlignment="1">
      <alignment horizontal="center" vertical="center"/>
    </xf>
    <xf numFmtId="169" fontId="9" fillId="6" borderId="2" xfId="3" applyNumberFormat="1" applyFont="1" applyFill="1" applyBorder="1" applyAlignment="1">
      <alignment horizontal="center" vertical="center"/>
    </xf>
    <xf numFmtId="169" fontId="9" fillId="6" borderId="8" xfId="3" applyNumberFormat="1" applyFont="1" applyFill="1" applyBorder="1" applyAlignment="1">
      <alignment horizontal="center" vertical="center"/>
    </xf>
    <xf numFmtId="0" fontId="6" fillId="0" borderId="14" xfId="3" applyFont="1" applyBorder="1" applyAlignment="1">
      <alignment horizontal="center"/>
    </xf>
    <xf numFmtId="0" fontId="3" fillId="0" borderId="0" xfId="3" applyAlignment="1">
      <alignment horizontal="center" wrapText="1"/>
    </xf>
    <xf numFmtId="0" fontId="3" fillId="0" borderId="0" xfId="3" applyAlignment="1">
      <alignment horizontal="center" wrapText="1" shrinkToFit="1"/>
    </xf>
    <xf numFmtId="14" fontId="3" fillId="2" borderId="5" xfId="3" applyNumberFormat="1" applyFill="1" applyBorder="1" applyAlignment="1" applyProtection="1">
      <alignment horizontal="center"/>
      <protection locked="0"/>
    </xf>
    <xf numFmtId="0" fontId="3" fillId="0" borderId="19" xfId="3" applyBorder="1" applyAlignment="1">
      <alignment horizontal="left"/>
    </xf>
    <xf numFmtId="0" fontId="3" fillId="0" borderId="0" xfId="3" applyAlignment="1">
      <alignment horizontal="left"/>
    </xf>
    <xf numFmtId="0" fontId="39" fillId="0" borderId="19" xfId="3" applyFont="1" applyBorder="1" applyAlignment="1">
      <alignment horizontal="left"/>
    </xf>
    <xf numFmtId="0" fontId="39" fillId="0" borderId="0" xfId="3" applyFont="1" applyAlignment="1">
      <alignment horizontal="left"/>
    </xf>
    <xf numFmtId="0" fontId="3" fillId="0" borderId="19" xfId="3" applyBorder="1" applyAlignment="1">
      <alignment horizontal="left" shrinkToFit="1"/>
    </xf>
    <xf numFmtId="0" fontId="3" fillId="0" borderId="0" xfId="3" applyAlignment="1">
      <alignment horizontal="left" shrinkToFit="1"/>
    </xf>
    <xf numFmtId="0" fontId="3" fillId="0" borderId="22" xfId="3" applyBorder="1" applyAlignment="1">
      <alignment horizontal="left"/>
    </xf>
    <xf numFmtId="0" fontId="3" fillId="0" borderId="6" xfId="3" applyBorder="1" applyAlignment="1">
      <alignment horizontal="left"/>
    </xf>
    <xf numFmtId="1" fontId="6" fillId="0" borderId="7" xfId="0" applyNumberFormat="1" applyFont="1" applyBorder="1" applyAlignment="1">
      <alignment horizontal="center"/>
    </xf>
    <xf numFmtId="1" fontId="6" fillId="0" borderId="2" xfId="0" applyNumberFormat="1" applyFont="1" applyBorder="1" applyAlignment="1">
      <alignment horizontal="center"/>
    </xf>
    <xf numFmtId="1" fontId="6" fillId="0" borderId="8" xfId="0" applyNumberFormat="1" applyFont="1" applyBorder="1" applyAlignment="1">
      <alignment horizontal="center"/>
    </xf>
    <xf numFmtId="0" fontId="3" fillId="0" borderId="25" xfId="3" applyBorder="1" applyAlignment="1">
      <alignment horizontal="left"/>
    </xf>
    <xf numFmtId="0" fontId="3" fillId="0" borderId="1" xfId="3" applyBorder="1" applyAlignment="1">
      <alignment horizontal="left"/>
    </xf>
    <xf numFmtId="0" fontId="3" fillId="6" borderId="7" xfId="3" applyFill="1" applyBorder="1" applyAlignment="1">
      <alignment horizontal="center"/>
    </xf>
    <xf numFmtId="0" fontId="3" fillId="6" borderId="8" xfId="3" applyFill="1" applyBorder="1" applyAlignment="1">
      <alignment horizontal="center"/>
    </xf>
    <xf numFmtId="0" fontId="3" fillId="6" borderId="7" xfId="3" applyFill="1" applyBorder="1" applyAlignment="1">
      <alignment horizontal="center" wrapText="1"/>
    </xf>
    <xf numFmtId="9" fontId="3" fillId="2" borderId="7" xfId="3" applyNumberFormat="1" applyFill="1" applyBorder="1" applyAlignment="1" applyProtection="1">
      <alignment horizontal="center" wrapText="1"/>
      <protection locked="0"/>
    </xf>
    <xf numFmtId="9" fontId="3" fillId="2" borderId="8" xfId="3" applyNumberFormat="1" applyFill="1" applyBorder="1" applyAlignment="1" applyProtection="1">
      <alignment horizontal="center" wrapText="1"/>
      <protection locked="0"/>
    </xf>
    <xf numFmtId="0" fontId="3" fillId="2" borderId="1" xfId="3" applyFill="1" applyBorder="1" applyAlignment="1" applyProtection="1">
      <alignment horizontal="left"/>
      <protection locked="0"/>
    </xf>
    <xf numFmtId="0" fontId="3" fillId="2" borderId="2" xfId="3" applyFill="1" applyBorder="1" applyAlignment="1" applyProtection="1">
      <alignment horizontal="left"/>
      <protection locked="0"/>
    </xf>
    <xf numFmtId="0" fontId="3" fillId="0" borderId="0" xfId="3" applyAlignment="1">
      <alignment horizontal="center"/>
    </xf>
    <xf numFmtId="0" fontId="3" fillId="2" borderId="7" xfId="3" applyFill="1" applyBorder="1" applyAlignment="1" applyProtection="1">
      <alignment horizontal="center" wrapText="1"/>
      <protection locked="0"/>
    </xf>
    <xf numFmtId="0" fontId="3" fillId="2" borderId="2" xfId="3" applyFill="1" applyBorder="1" applyAlignment="1" applyProtection="1">
      <alignment horizontal="center" wrapText="1"/>
      <protection locked="0"/>
    </xf>
    <xf numFmtId="0" fontId="3" fillId="2" borderId="8" xfId="3" applyFill="1" applyBorder="1" applyAlignment="1" applyProtection="1">
      <alignment horizontal="center" wrapText="1"/>
      <protection locked="0"/>
    </xf>
    <xf numFmtId="0" fontId="3" fillId="2" borderId="7" xfId="3" applyFill="1" applyBorder="1" applyAlignment="1" applyProtection="1">
      <alignment horizontal="center"/>
      <protection locked="0"/>
    </xf>
    <xf numFmtId="0" fontId="3" fillId="2" borderId="8" xfId="3" applyFill="1" applyBorder="1" applyAlignment="1" applyProtection="1">
      <alignment horizontal="center"/>
      <protection locked="0"/>
    </xf>
    <xf numFmtId="9" fontId="3" fillId="2" borderId="9" xfId="3" applyNumberFormat="1" applyFill="1" applyBorder="1" applyAlignment="1" applyProtection="1">
      <alignment horizontal="center" vertical="center"/>
      <protection locked="0"/>
    </xf>
    <xf numFmtId="0" fontId="19" fillId="0" borderId="11" xfId="0" applyFont="1" applyBorder="1" applyAlignment="1">
      <alignment horizontal="left"/>
    </xf>
    <xf numFmtId="0" fontId="19" fillId="0" borderId="2" xfId="0" applyFont="1" applyBorder="1" applyAlignment="1">
      <alignment horizontal="left"/>
    </xf>
    <xf numFmtId="0" fontId="19" fillId="0" borderId="8" xfId="0" applyFont="1" applyBorder="1" applyAlignment="1">
      <alignment horizontal="left"/>
    </xf>
    <xf numFmtId="0" fontId="6" fillId="5" borderId="13" xfId="0" applyFont="1" applyFill="1" applyBorder="1" applyAlignment="1">
      <alignment horizontal="center"/>
    </xf>
    <xf numFmtId="0" fontId="6" fillId="5" borderId="14" xfId="0" applyFont="1" applyFill="1" applyBorder="1" applyAlignment="1">
      <alignment horizontal="center"/>
    </xf>
    <xf numFmtId="0" fontId="6" fillId="5" borderId="15" xfId="0" applyFont="1" applyFill="1" applyBorder="1" applyAlignment="1">
      <alignment horizontal="center"/>
    </xf>
    <xf numFmtId="0" fontId="11" fillId="0" borderId="3" xfId="3" applyFont="1" applyBorder="1" applyAlignment="1">
      <alignment horizontal="center"/>
    </xf>
    <xf numFmtId="0" fontId="6" fillId="0" borderId="0" xfId="3" applyFont="1" applyAlignment="1">
      <alignment horizontal="center"/>
    </xf>
    <xf numFmtId="0" fontId="3" fillId="3" borderId="7" xfId="3" applyFill="1" applyBorder="1" applyAlignment="1" applyProtection="1">
      <alignment horizontal="center" vertical="top" wrapText="1"/>
      <protection locked="0"/>
    </xf>
    <xf numFmtId="0" fontId="3" fillId="3" borderId="2" xfId="3" applyFill="1" applyBorder="1" applyAlignment="1" applyProtection="1">
      <alignment horizontal="center" vertical="top" wrapText="1"/>
      <protection locked="0"/>
    </xf>
    <xf numFmtId="0" fontId="3" fillId="3" borderId="8" xfId="3" applyFill="1" applyBorder="1" applyAlignment="1" applyProtection="1">
      <alignment horizontal="center" vertical="top" wrapText="1"/>
      <protection locked="0"/>
    </xf>
    <xf numFmtId="0" fontId="19" fillId="0" borderId="37" xfId="0" applyFont="1" applyBorder="1" applyAlignment="1">
      <alignment horizontal="left" wrapText="1"/>
    </xf>
    <xf numFmtId="0" fontId="19" fillId="0" borderId="38" xfId="0" applyFont="1" applyBorder="1" applyAlignment="1">
      <alignment horizontal="left" wrapText="1"/>
    </xf>
    <xf numFmtId="0" fontId="19" fillId="0" borderId="39" xfId="0" applyFont="1" applyBorder="1" applyAlignment="1">
      <alignment horizontal="left" wrapText="1"/>
    </xf>
    <xf numFmtId="0" fontId="6" fillId="5" borderId="13" xfId="3" applyFont="1" applyFill="1" applyBorder="1" applyAlignment="1">
      <alignment horizontal="center"/>
    </xf>
    <xf numFmtId="0" fontId="6" fillId="5" borderId="14" xfId="3" applyFont="1" applyFill="1" applyBorder="1" applyAlignment="1">
      <alignment horizontal="center"/>
    </xf>
    <xf numFmtId="0" fontId="6" fillId="5" borderId="15" xfId="3" applyFont="1" applyFill="1" applyBorder="1" applyAlignment="1">
      <alignment horizontal="center"/>
    </xf>
    <xf numFmtId="0" fontId="3" fillId="0" borderId="19" xfId="3" applyBorder="1" applyAlignment="1">
      <alignment horizontal="center"/>
    </xf>
    <xf numFmtId="0" fontId="21" fillId="0" borderId="13" xfId="0" applyFont="1" applyBorder="1" applyAlignment="1">
      <alignment horizontal="center"/>
    </xf>
    <xf numFmtId="0" fontId="21" fillId="0" borderId="14" xfId="0" applyFont="1" applyBorder="1" applyAlignment="1">
      <alignment horizontal="center"/>
    </xf>
    <xf numFmtId="0" fontId="3" fillId="0" borderId="16" xfId="0" applyFont="1" applyBorder="1" applyAlignment="1">
      <alignment horizontal="left" wrapText="1"/>
    </xf>
    <xf numFmtId="0" fontId="3" fillId="0" borderId="0" xfId="0" applyFont="1" applyAlignment="1">
      <alignment horizontal="left" wrapText="1"/>
    </xf>
    <xf numFmtId="0" fontId="3" fillId="0" borderId="17" xfId="0" applyFont="1" applyBorder="1" applyAlignment="1">
      <alignment horizontal="left" wrapText="1"/>
    </xf>
    <xf numFmtId="0" fontId="6" fillId="0" borderId="0" xfId="3" applyFont="1" applyAlignment="1">
      <alignment horizontal="center" vertical="center" wrapText="1" shrinkToFit="1"/>
    </xf>
    <xf numFmtId="0" fontId="6" fillId="0" borderId="23" xfId="3" applyFont="1" applyBorder="1" applyAlignment="1">
      <alignment horizontal="center" vertical="center" wrapText="1" shrinkToFit="1"/>
    </xf>
    <xf numFmtId="0" fontId="3" fillId="0" borderId="0" xfId="3" applyAlignment="1">
      <alignment horizontal="left" vertical="center" shrinkToFit="1"/>
    </xf>
    <xf numFmtId="0" fontId="3" fillId="0" borderId="7" xfId="3" applyBorder="1" applyAlignment="1">
      <alignment horizontal="right"/>
    </xf>
    <xf numFmtId="0" fontId="3" fillId="0" borderId="2" xfId="3" applyBorder="1" applyAlignment="1">
      <alignment horizontal="right"/>
    </xf>
    <xf numFmtId="0" fontId="3" fillId="0" borderId="8" xfId="3" applyBorder="1" applyAlignment="1">
      <alignment horizontal="right"/>
    </xf>
    <xf numFmtId="0" fontId="3" fillId="0" borderId="22" xfId="3" applyBorder="1" applyAlignment="1">
      <alignment horizontal="right" wrapText="1"/>
    </xf>
    <xf numFmtId="0" fontId="3" fillId="0" borderId="6" xfId="3" applyBorder="1" applyAlignment="1">
      <alignment horizontal="right" wrapText="1"/>
    </xf>
    <xf numFmtId="0" fontId="3" fillId="0" borderId="19" xfId="3" applyBorder="1" applyAlignment="1">
      <alignment horizontal="right"/>
    </xf>
    <xf numFmtId="0" fontId="6" fillId="5" borderId="7" xfId="0" applyFont="1" applyFill="1" applyBorder="1" applyAlignment="1">
      <alignment horizontal="center"/>
    </xf>
    <xf numFmtId="0" fontId="6" fillId="5" borderId="2" xfId="0" applyFont="1" applyFill="1" applyBorder="1" applyAlignment="1">
      <alignment horizontal="center"/>
    </xf>
    <xf numFmtId="0" fontId="6" fillId="5" borderId="8" xfId="0" applyFont="1" applyFill="1" applyBorder="1" applyAlignment="1">
      <alignment horizontal="center"/>
    </xf>
    <xf numFmtId="0" fontId="3" fillId="0" borderId="18" xfId="0" applyFont="1" applyBorder="1" applyAlignment="1" applyProtection="1">
      <alignment horizontal="center"/>
      <protection locked="0"/>
    </xf>
    <xf numFmtId="0" fontId="3" fillId="0" borderId="1" xfId="0" applyFont="1" applyBorder="1" applyAlignment="1" applyProtection="1">
      <alignment horizontal="center"/>
      <protection locked="0"/>
    </xf>
    <xf numFmtId="0" fontId="0" fillId="0" borderId="20" xfId="0" applyBorder="1" applyAlignment="1">
      <alignment horizontal="center"/>
    </xf>
    <xf numFmtId="0" fontId="0" fillId="0" borderId="3" xfId="0" applyBorder="1" applyAlignment="1">
      <alignment horizontal="center"/>
    </xf>
    <xf numFmtId="0" fontId="0" fillId="0" borderId="1" xfId="0" applyBorder="1" applyAlignment="1">
      <alignment horizontal="center"/>
    </xf>
    <xf numFmtId="0" fontId="3" fillId="0" borderId="20" xfId="3" applyBorder="1" applyAlignment="1">
      <alignment horizontal="right"/>
    </xf>
    <xf numFmtId="0" fontId="3" fillId="0" borderId="3" xfId="3" applyBorder="1" applyAlignment="1">
      <alignment horizontal="right"/>
    </xf>
    <xf numFmtId="0" fontId="3" fillId="0" borderId="3" xfId="3" applyBorder="1" applyAlignment="1">
      <alignment horizontal="left"/>
    </xf>
    <xf numFmtId="0" fontId="3" fillId="0" borderId="3" xfId="3" applyBorder="1" applyAlignment="1">
      <alignment horizontal="center"/>
    </xf>
    <xf numFmtId="0" fontId="3" fillId="2" borderId="7" xfId="3" applyFill="1" applyBorder="1" applyAlignment="1" applyProtection="1">
      <alignment horizontal="left" vertical="top" wrapText="1"/>
      <protection locked="0"/>
    </xf>
    <xf numFmtId="0" fontId="0" fillId="0" borderId="2" xfId="0" applyBorder="1" applyAlignment="1">
      <alignment horizontal="left" vertical="top" wrapText="1"/>
    </xf>
    <xf numFmtId="0" fontId="3" fillId="0" borderId="7" xfId="0" applyFont="1" applyBorder="1" applyAlignment="1">
      <alignment horizontal="right"/>
    </xf>
    <xf numFmtId="0" fontId="3" fillId="0" borderId="2" xfId="0" applyFont="1" applyBorder="1" applyAlignment="1">
      <alignment horizontal="right"/>
    </xf>
    <xf numFmtId="0" fontId="3" fillId="0" borderId="8" xfId="0" applyFont="1" applyBorder="1" applyAlignment="1">
      <alignment horizontal="right"/>
    </xf>
    <xf numFmtId="0" fontId="15" fillId="5" borderId="13" xfId="3" applyFont="1" applyFill="1" applyBorder="1" applyAlignment="1">
      <alignment horizontal="center"/>
    </xf>
    <xf numFmtId="0" fontId="15" fillId="5" borderId="14" xfId="3" applyFont="1" applyFill="1" applyBorder="1" applyAlignment="1">
      <alignment horizontal="center"/>
    </xf>
    <xf numFmtId="0" fontId="15" fillId="5" borderId="15" xfId="3" applyFont="1" applyFill="1" applyBorder="1" applyAlignment="1">
      <alignment horizontal="center"/>
    </xf>
    <xf numFmtId="14" fontId="0" fillId="0" borderId="1" xfId="0" applyNumberFormat="1" applyBorder="1" applyAlignment="1">
      <alignment horizontal="center"/>
    </xf>
    <xf numFmtId="0" fontId="3" fillId="2" borderId="0" xfId="3" applyFill="1" applyAlignment="1">
      <alignment horizontal="center"/>
    </xf>
    <xf numFmtId="0" fontId="10" fillId="0" borderId="18" xfId="0" applyFont="1" applyBorder="1" applyAlignment="1">
      <alignment horizontal="center"/>
    </xf>
    <xf numFmtId="0" fontId="10" fillId="0" borderId="1" xfId="0" applyFont="1" applyBorder="1" applyAlignment="1">
      <alignment horizontal="center"/>
    </xf>
    <xf numFmtId="0" fontId="6" fillId="5" borderId="7" xfId="0" applyFont="1" applyFill="1" applyBorder="1" applyAlignment="1">
      <alignment horizontal="center" wrapText="1"/>
    </xf>
    <xf numFmtId="0" fontId="6" fillId="5" borderId="2" xfId="0" applyFont="1" applyFill="1" applyBorder="1" applyAlignment="1">
      <alignment horizontal="center" wrapText="1"/>
    </xf>
    <xf numFmtId="0" fontId="6" fillId="5" borderId="8" xfId="0" applyFont="1" applyFill="1" applyBorder="1" applyAlignment="1">
      <alignment horizontal="center" wrapText="1"/>
    </xf>
    <xf numFmtId="0" fontId="3" fillId="6" borderId="2" xfId="3" applyFill="1" applyBorder="1" applyAlignment="1">
      <alignment horizontal="center"/>
    </xf>
    <xf numFmtId="0" fontId="6" fillId="6" borderId="7" xfId="3" applyFont="1" applyFill="1" applyBorder="1" applyAlignment="1">
      <alignment horizontal="left"/>
    </xf>
    <xf numFmtId="0" fontId="6" fillId="6" borderId="2" xfId="3" applyFont="1" applyFill="1" applyBorder="1" applyAlignment="1">
      <alignment horizontal="left"/>
    </xf>
    <xf numFmtId="0" fontId="6" fillId="6" borderId="8" xfId="3" applyFont="1" applyFill="1" applyBorder="1" applyAlignment="1">
      <alignment horizontal="left"/>
    </xf>
    <xf numFmtId="169" fontId="3" fillId="3" borderId="1" xfId="3" applyNumberFormat="1" applyFill="1" applyBorder="1" applyAlignment="1" applyProtection="1">
      <alignment horizontal="center"/>
      <protection locked="0"/>
    </xf>
    <xf numFmtId="9" fontId="3" fillId="2" borderId="7" xfId="3" applyNumberFormat="1" applyFill="1" applyBorder="1" applyAlignment="1">
      <alignment horizontal="center" vertical="center"/>
    </xf>
    <xf numFmtId="9" fontId="3" fillId="2" borderId="8" xfId="3" applyNumberFormat="1" applyFill="1" applyBorder="1" applyAlignment="1">
      <alignment horizontal="center" vertical="center"/>
    </xf>
    <xf numFmtId="0" fontId="29" fillId="0" borderId="0" xfId="3" applyFont="1" applyAlignment="1" applyProtection="1">
      <alignment vertical="top" wrapText="1"/>
      <protection locked="0"/>
    </xf>
    <xf numFmtId="0" fontId="25" fillId="0" borderId="0" xfId="3" applyFont="1" applyAlignment="1" applyProtection="1">
      <alignment vertical="top" wrapText="1"/>
      <protection locked="0"/>
    </xf>
    <xf numFmtId="0" fontId="29" fillId="0" borderId="23" xfId="3" applyFont="1" applyBorder="1" applyAlignment="1" applyProtection="1">
      <alignment vertical="top" wrapText="1"/>
      <protection locked="0"/>
    </xf>
    <xf numFmtId="0" fontId="25" fillId="0" borderId="23" xfId="3" applyFont="1" applyBorder="1" applyAlignment="1" applyProtection="1">
      <alignment vertical="top" wrapText="1"/>
      <protection locked="0"/>
    </xf>
  </cellXfs>
  <cellStyles count="7">
    <cellStyle name="Comma" xfId="1" builtinId="3"/>
    <cellStyle name="Comma 3" xfId="4" xr:uid="{00000000-0005-0000-0000-000001000000}"/>
    <cellStyle name="Hyperlink" xfId="5" builtinId="8"/>
    <cellStyle name="Normal" xfId="0" builtinId="0"/>
    <cellStyle name="Normal 2" xfId="3" xr:uid="{00000000-0005-0000-0000-000003000000}"/>
    <cellStyle name="Normal_Sheet1" xfId="6" xr:uid="{A31CF075-42E6-42A0-890E-A4166C5E2FC7}"/>
    <cellStyle name="Percent" xfId="2" builtinId="5"/>
  </cellStyles>
  <dxfs count="47">
    <dxf>
      <fill>
        <patternFill patternType="dark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darkUp"/>
      </fill>
    </dxf>
    <dxf>
      <fill>
        <patternFill patternType="darkUp"/>
      </fill>
    </dxf>
    <dxf>
      <fill>
        <patternFill patternType="darkUp"/>
      </fill>
    </dxf>
    <dxf>
      <fill>
        <patternFill patternType="lightUp"/>
      </fill>
    </dxf>
    <dxf>
      <fill>
        <patternFill patternType="lightUp"/>
      </fill>
    </dxf>
    <dxf>
      <fill>
        <patternFill patternType="lightUp"/>
      </fill>
    </dxf>
    <dxf>
      <fill>
        <patternFill patternType="lightUp"/>
      </fill>
    </dxf>
    <dxf>
      <fill>
        <patternFill patternType="dark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darkUp"/>
      </fill>
    </dxf>
    <dxf>
      <fill>
        <patternFill patternType="darkUp"/>
      </fill>
    </dxf>
    <dxf>
      <fill>
        <patternFill patternType="lightUp"/>
      </fill>
    </dxf>
    <dxf>
      <fill>
        <patternFill patternType="lightUp"/>
      </fill>
    </dxf>
    <dxf>
      <fill>
        <patternFill patternType="darkUp"/>
      </fill>
    </dxf>
    <dxf>
      <fill>
        <patternFill patternType="darkUp"/>
      </fill>
    </dxf>
    <dxf>
      <fill>
        <patternFill patternType="darkUp"/>
      </fill>
    </dxf>
    <dxf>
      <fill>
        <patternFill patternType="dark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darkUp"/>
      </fill>
    </dxf>
    <dxf>
      <fill>
        <patternFill patternType="darkUp"/>
      </fill>
    </dxf>
    <dxf>
      <fill>
        <patternFill patternType="darkUp"/>
      </fill>
    </dxf>
    <dxf>
      <fill>
        <patternFill patternType="lightUp"/>
      </fill>
    </dxf>
    <dxf>
      <fill>
        <patternFill patternType="lightUp"/>
      </fill>
    </dxf>
    <dxf>
      <fill>
        <patternFill patternType="lightUp"/>
      </fill>
    </dxf>
    <dxf>
      <fill>
        <patternFill patternType="lightUp"/>
      </fill>
    </dxf>
    <dxf>
      <fill>
        <patternFill patternType="darkUp"/>
      </fill>
    </dxf>
    <dxf>
      <fill>
        <patternFill patternType="darkUp"/>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Button" lockText="1"/>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17</xdr:col>
          <xdr:colOff>561975</xdr:colOff>
          <xdr:row>0</xdr:row>
          <xdr:rowOff>257175</xdr:rowOff>
        </xdr:from>
        <xdr:to>
          <xdr:col>19</xdr:col>
          <xdr:colOff>333375</xdr:colOff>
          <xdr:row>1</xdr:row>
          <xdr:rowOff>209550</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ea typeface="Calibri"/>
                  <a:cs typeface="Calibri"/>
                </a:rPr>
                <a:t>Clear App</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asurancecom-my.sharepoint.com/Users/pyao/Desktop/taxi%20application/OnyxAppinRater_3.5.1_11-6-2017_v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nyx Application"/>
      <sheetName val="Vehicle List"/>
      <sheetName val="Driver List"/>
      <sheetName val="Data"/>
      <sheetName val="Input"/>
      <sheetName val="Physical Damage Quote"/>
      <sheetName val="Liability Quote"/>
      <sheetName val="Broker List"/>
      <sheetName val="Driver Rating"/>
      <sheetName val="Vehicle Rating"/>
      <sheetName val="Experience Rater"/>
      <sheetName val="Rating Category"/>
      <sheetName val="Tables"/>
      <sheetName val="BaseRates_City"/>
      <sheetName val="BaseRates_ZIP"/>
      <sheetName val="BaseRates_Bucket"/>
      <sheetName val="Tax-LCM"/>
      <sheetName val="Discount-Surcharge"/>
      <sheetName val="ILF"/>
      <sheetName val="Deductible"/>
      <sheetName val="Phys Dam - Stated Amt"/>
      <sheetName val="Other Coverages"/>
      <sheetName val="Radius"/>
      <sheetName val="Expense Assumptions"/>
      <sheetName val="OnyxAppinRater_3.5"/>
      <sheetName val="OnyxAppinRater_3.5.1_11-6-2017_"/>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7" Type="http://schemas.openxmlformats.org/officeDocument/2006/relationships/ctrlProp" Target="../ctrlProps/ctrlProp1.xml"/><Relationship Id="rId2" Type="http://schemas.openxmlformats.org/officeDocument/2006/relationships/hyperlink" Target="mailto:TESFAHAB83@GMAIL.COM" TargetMode="External"/><Relationship Id="rId1" Type="http://schemas.openxmlformats.org/officeDocument/2006/relationships/hyperlink" Target="mailto:WAEL@CASURANCE.COM" TargetMode="External"/><Relationship Id="rId6" Type="http://schemas.openxmlformats.org/officeDocument/2006/relationships/vmlDrawing" Target="../drawings/vmlDrawing2.v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mailto:maha@casurance.com" TargetMode="External"/><Relationship Id="rId2" Type="http://schemas.openxmlformats.org/officeDocument/2006/relationships/hyperlink" Target="mailto:deanna@vaughtinsurance.com" TargetMode="External"/><Relationship Id="rId1" Type="http://schemas.openxmlformats.org/officeDocument/2006/relationships/hyperlink" Target="mailto:jenny@pvins.com" TargetMode="External"/><Relationship Id="rId4" Type="http://schemas.openxmlformats.org/officeDocument/2006/relationships/hyperlink" Target="mailto:mike@hospitality-ins.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2">
    <tabColor rgb="FF92D050"/>
  </sheetPr>
  <dimension ref="A1:U373"/>
  <sheetViews>
    <sheetView showGridLines="0" tabSelected="1" view="pageBreakPreview" zoomScaleNormal="100" zoomScaleSheetLayoutView="100" workbookViewId="0">
      <selection activeCell="B10" sqref="B10:F10"/>
    </sheetView>
  </sheetViews>
  <sheetFormatPr defaultColWidth="8.7109375" defaultRowHeight="12.75" x14ac:dyDescent="0.2"/>
  <cols>
    <col min="1" max="1" width="34.42578125" style="2" customWidth="1"/>
    <col min="2" max="2" width="20.140625" style="2" customWidth="1"/>
    <col min="3" max="3" width="16" style="2" customWidth="1"/>
    <col min="4" max="4" width="13.7109375" style="2" customWidth="1"/>
    <col min="5" max="5" width="0.140625" style="2" hidden="1" customWidth="1"/>
    <col min="6" max="6" width="13" style="2" customWidth="1"/>
    <col min="7" max="7" width="13.85546875" style="2" customWidth="1"/>
    <col min="8" max="8" width="0.140625" style="2" hidden="1" customWidth="1"/>
    <col min="9" max="9" width="11.85546875" style="2" customWidth="1"/>
    <col min="10" max="10" width="11.42578125" style="2" customWidth="1"/>
    <col min="11" max="11" width="1.42578125" style="2" hidden="1" customWidth="1"/>
    <col min="12" max="12" width="19.7109375" style="2" customWidth="1"/>
    <col min="13" max="14" width="1.140625" style="2" hidden="1" customWidth="1"/>
    <col min="15" max="15" width="19.7109375" style="2" customWidth="1"/>
    <col min="16" max="16" width="8.5703125" style="2" customWidth="1"/>
    <col min="17" max="17" width="0.7109375" style="2" hidden="1" customWidth="1"/>
    <col min="18" max="18" width="9.140625" style="2" bestFit="1" customWidth="1"/>
    <col min="19" max="19" width="9.5703125" style="2" customWidth="1"/>
    <col min="20" max="16384" width="8.7109375" style="2"/>
  </cols>
  <sheetData>
    <row r="1" spans="1:19" ht="31.5" customHeight="1" x14ac:dyDescent="0.25">
      <c r="A1" s="1" t="s">
        <v>0</v>
      </c>
      <c r="I1" s="3" t="s">
        <v>1</v>
      </c>
      <c r="J1" s="536">
        <f ca="1">TODAY()</f>
        <v>45957</v>
      </c>
      <c r="K1" s="536"/>
      <c r="L1" s="536"/>
      <c r="M1" s="536"/>
      <c r="N1" s="536"/>
      <c r="O1" s="536"/>
      <c r="P1" s="536"/>
      <c r="Q1" s="81"/>
    </row>
    <row r="2" spans="1:19" ht="25.5" customHeight="1" x14ac:dyDescent="0.2">
      <c r="A2" s="2" t="s">
        <v>2</v>
      </c>
      <c r="B2" s="545" t="s">
        <v>1378</v>
      </c>
      <c r="C2" s="545"/>
      <c r="D2" s="545"/>
      <c r="E2" s="545"/>
      <c r="F2" s="545"/>
      <c r="G2" s="558" t="s">
        <v>3</v>
      </c>
      <c r="H2" s="558"/>
      <c r="I2" s="558"/>
      <c r="J2" s="537" t="s">
        <v>1039</v>
      </c>
      <c r="K2" s="537"/>
      <c r="L2" s="537"/>
      <c r="M2" s="537"/>
      <c r="N2" s="537"/>
      <c r="O2" s="537"/>
      <c r="P2" s="537"/>
      <c r="Q2" s="378"/>
      <c r="R2" s="4"/>
    </row>
    <row r="3" spans="1:19" ht="24.75" customHeight="1" x14ac:dyDescent="0.25">
      <c r="A3" s="2" t="s">
        <v>5</v>
      </c>
      <c r="B3" s="334">
        <v>323</v>
      </c>
      <c r="C3" s="334">
        <v>546</v>
      </c>
      <c r="D3" s="334">
        <v>3030</v>
      </c>
      <c r="E3" s="334"/>
      <c r="F3" s="334"/>
      <c r="I3" s="3" t="s">
        <v>6</v>
      </c>
      <c r="J3" s="538" t="s">
        <v>1379</v>
      </c>
      <c r="K3" s="539"/>
      <c r="L3" s="539"/>
      <c r="M3" s="539"/>
      <c r="N3" s="539"/>
      <c r="O3" s="539"/>
      <c r="P3" s="539"/>
      <c r="Q3" s="43"/>
      <c r="R3" s="4"/>
    </row>
    <row r="4" spans="1:19" ht="24.75" customHeight="1" x14ac:dyDescent="0.2">
      <c r="A4" s="12" t="s">
        <v>7</v>
      </c>
      <c r="B4" s="334">
        <v>310</v>
      </c>
      <c r="C4" s="334">
        <v>464</v>
      </c>
      <c r="D4" s="334">
        <v>633</v>
      </c>
      <c r="E4" s="334"/>
      <c r="F4" s="334"/>
      <c r="I4" s="3" t="s">
        <v>8</v>
      </c>
      <c r="J4" s="539" t="s">
        <v>1380</v>
      </c>
      <c r="K4" s="539"/>
      <c r="L4" s="539"/>
      <c r="M4" s="539"/>
      <c r="N4" s="539"/>
      <c r="O4" s="539"/>
      <c r="P4" s="539"/>
      <c r="Q4" s="43"/>
      <c r="R4" s="4"/>
    </row>
    <row r="5" spans="1:19" ht="21.75" customHeight="1" x14ac:dyDescent="0.2">
      <c r="A5" s="2" t="s">
        <v>9</v>
      </c>
      <c r="C5" s="508" t="s">
        <v>13</v>
      </c>
      <c r="D5" s="508"/>
      <c r="E5" s="6"/>
      <c r="F5" s="5"/>
      <c r="G5" s="559" t="s">
        <v>11</v>
      </c>
      <c r="H5" s="559"/>
      <c r="I5" s="559"/>
      <c r="J5" s="559"/>
      <c r="K5" s="559"/>
      <c r="L5" s="559"/>
      <c r="M5" s="22"/>
      <c r="N5" s="22"/>
      <c r="O5" s="540">
        <v>0</v>
      </c>
      <c r="P5" s="540"/>
      <c r="Q5" s="6"/>
    </row>
    <row r="6" spans="1:19" ht="26.25" customHeight="1" x14ac:dyDescent="0.2">
      <c r="A6" s="2" t="s">
        <v>12</v>
      </c>
      <c r="C6" s="508" t="s">
        <v>13</v>
      </c>
      <c r="D6" s="508"/>
      <c r="E6" s="6"/>
      <c r="I6" s="3" t="s">
        <v>1164</v>
      </c>
      <c r="J6" s="537" t="s">
        <v>1387</v>
      </c>
      <c r="K6" s="537"/>
      <c r="L6" s="537"/>
      <c r="M6" s="537"/>
      <c r="N6" s="537"/>
      <c r="O6" s="537"/>
      <c r="P6" s="537"/>
      <c r="Q6" s="6"/>
    </row>
    <row r="7" spans="1:19" ht="21.75" customHeight="1" thickBot="1" x14ac:dyDescent="0.25">
      <c r="A7" s="7"/>
      <c r="B7" s="7"/>
      <c r="C7" s="7"/>
      <c r="D7" s="7"/>
      <c r="E7" s="7"/>
      <c r="F7" s="7"/>
      <c r="G7" s="7"/>
      <c r="H7" s="7"/>
      <c r="I7" s="7"/>
      <c r="J7" s="8"/>
      <c r="K7" s="8"/>
      <c r="L7" s="8"/>
      <c r="M7" s="8"/>
      <c r="N7" s="8"/>
      <c r="O7" s="8"/>
      <c r="P7" s="8"/>
      <c r="Q7" s="8"/>
      <c r="R7" s="8"/>
      <c r="S7" s="7"/>
    </row>
    <row r="8" spans="1:19" ht="36" customHeight="1" thickBot="1" x14ac:dyDescent="0.3">
      <c r="A8" s="9" t="s">
        <v>14</v>
      </c>
      <c r="B8" s="10"/>
      <c r="C8" s="10"/>
      <c r="D8" s="10"/>
      <c r="E8" s="10"/>
      <c r="F8" s="10"/>
      <c r="G8" s="10"/>
      <c r="H8" s="10"/>
      <c r="I8" s="10"/>
      <c r="J8" s="10"/>
      <c r="K8" s="10"/>
      <c r="L8" s="10"/>
      <c r="M8" s="10"/>
      <c r="N8" s="10"/>
      <c r="O8" s="10"/>
      <c r="P8" s="10"/>
      <c r="Q8" s="10"/>
      <c r="R8" s="10"/>
      <c r="S8" s="10"/>
    </row>
    <row r="9" spans="1:19" ht="36" customHeight="1" x14ac:dyDescent="0.2">
      <c r="A9" s="11" t="s">
        <v>15</v>
      </c>
      <c r="B9" s="570">
        <v>45971</v>
      </c>
      <c r="C9" s="570"/>
      <c r="D9" s="570"/>
      <c r="E9" s="570"/>
      <c r="F9" s="570"/>
      <c r="G9" s="580" t="s">
        <v>16</v>
      </c>
      <c r="H9" s="580"/>
      <c r="I9" s="580"/>
      <c r="J9" s="583">
        <v>45966</v>
      </c>
      <c r="K9" s="583"/>
      <c r="L9" s="583"/>
      <c r="M9" s="583"/>
      <c r="N9" s="583"/>
      <c r="O9" s="583"/>
      <c r="P9" s="583"/>
      <c r="Q9" s="81"/>
    </row>
    <row r="10" spans="1:19" ht="24.75" customHeight="1" x14ac:dyDescent="0.2">
      <c r="A10" s="2" t="s">
        <v>17</v>
      </c>
      <c r="B10" s="569" t="s">
        <v>1394</v>
      </c>
      <c r="C10" s="562"/>
      <c r="D10" s="562"/>
      <c r="E10" s="562"/>
      <c r="F10" s="562"/>
      <c r="G10" s="3" t="s">
        <v>18</v>
      </c>
      <c r="H10" s="3"/>
      <c r="I10" s="3"/>
      <c r="J10" s="508" t="s">
        <v>411</v>
      </c>
      <c r="K10" s="508"/>
      <c r="L10" s="508"/>
      <c r="M10" s="508"/>
      <c r="N10" s="508"/>
      <c r="O10" s="508"/>
      <c r="P10" s="508"/>
      <c r="Q10" s="6"/>
      <c r="R10" s="43"/>
      <c r="S10" s="43"/>
    </row>
    <row r="11" spans="1:19" ht="21.75" customHeight="1" x14ac:dyDescent="0.2">
      <c r="A11" s="2" t="s">
        <v>20</v>
      </c>
      <c r="B11" s="562"/>
      <c r="C11" s="562"/>
      <c r="D11" s="562"/>
      <c r="E11" s="562"/>
      <c r="F11" s="562"/>
      <c r="G11" s="3" t="s">
        <v>21</v>
      </c>
      <c r="H11" s="3"/>
      <c r="I11" s="3"/>
      <c r="J11" s="508"/>
      <c r="K11" s="508"/>
      <c r="L11" s="508"/>
      <c r="M11" s="508"/>
      <c r="N11" s="508"/>
      <c r="O11" s="508"/>
      <c r="P11" s="508"/>
      <c r="Q11" s="6"/>
      <c r="R11" s="43"/>
      <c r="S11" s="43"/>
    </row>
    <row r="12" spans="1:19" ht="22.5" customHeight="1" x14ac:dyDescent="0.2">
      <c r="A12" s="12" t="s">
        <v>22</v>
      </c>
      <c r="B12" s="439">
        <v>2025</v>
      </c>
      <c r="C12" s="6"/>
      <c r="D12" s="6"/>
      <c r="E12" s="6"/>
      <c r="F12" s="6"/>
      <c r="I12" s="3" t="s">
        <v>23</v>
      </c>
      <c r="J12" s="13">
        <v>0</v>
      </c>
      <c r="K12" s="14"/>
      <c r="P12" s="43"/>
      <c r="Q12" s="43"/>
      <c r="R12" s="43"/>
    </row>
    <row r="13" spans="1:19" ht="22.5" customHeight="1" x14ac:dyDescent="0.2">
      <c r="A13" s="12" t="s">
        <v>1349</v>
      </c>
      <c r="B13" s="277">
        <v>2025</v>
      </c>
      <c r="C13" s="6"/>
      <c r="D13" s="6"/>
      <c r="E13" s="6"/>
      <c r="F13" s="6"/>
      <c r="I13" s="3" t="s">
        <v>1350</v>
      </c>
      <c r="J13" s="13">
        <v>0</v>
      </c>
      <c r="K13" s="14"/>
      <c r="P13" s="43"/>
      <c r="Q13" s="43"/>
      <c r="R13" s="43"/>
    </row>
    <row r="14" spans="1:19" ht="24.4" customHeight="1" x14ac:dyDescent="0.2">
      <c r="A14" s="15" t="s">
        <v>24</v>
      </c>
      <c r="B14" s="3"/>
      <c r="C14" s="510" t="s">
        <v>1105</v>
      </c>
      <c r="D14" s="510"/>
      <c r="E14" s="510"/>
      <c r="F14" s="510"/>
      <c r="G14" s="3"/>
      <c r="H14" s="3"/>
      <c r="I14" s="15" t="s">
        <v>977</v>
      </c>
      <c r="J14" s="3"/>
      <c r="K14" s="3"/>
      <c r="L14" s="510" t="s">
        <v>978</v>
      </c>
      <c r="M14" s="510"/>
      <c r="N14" s="510"/>
      <c r="O14" s="510"/>
      <c r="P14" s="510"/>
      <c r="Q14" s="6"/>
      <c r="R14" s="17"/>
    </row>
    <row r="15" spans="1:19" ht="22.5" customHeight="1" x14ac:dyDescent="0.2">
      <c r="A15" s="12"/>
      <c r="B15" s="6"/>
      <c r="C15" s="6"/>
      <c r="D15" s="6"/>
      <c r="E15" s="6"/>
      <c r="F15" s="6"/>
      <c r="I15" s="3"/>
      <c r="J15" s="14"/>
      <c r="K15" s="14"/>
      <c r="P15" s="43"/>
      <c r="Q15" s="43"/>
      <c r="R15" s="43"/>
    </row>
    <row r="16" spans="1:19" ht="30.4" customHeight="1" x14ac:dyDescent="0.2">
      <c r="A16" s="12" t="s">
        <v>25</v>
      </c>
      <c r="B16" s="6"/>
      <c r="C16" s="70" t="s">
        <v>13</v>
      </c>
      <c r="D16" s="6"/>
      <c r="E16" s="6"/>
      <c r="F16" s="6"/>
      <c r="I16" s="3"/>
      <c r="J16" s="14"/>
      <c r="K16" s="14"/>
      <c r="P16" s="43"/>
      <c r="Q16" s="43"/>
      <c r="R16" s="43"/>
    </row>
    <row r="17" spans="1:19" ht="8.4499999999999993" customHeight="1" x14ac:dyDescent="0.2">
      <c r="A17" s="12"/>
      <c r="B17" s="6"/>
      <c r="C17" s="6"/>
      <c r="D17" s="6"/>
      <c r="E17" s="6"/>
      <c r="F17" s="6"/>
      <c r="I17" s="3"/>
      <c r="J17" s="14"/>
      <c r="K17" s="14"/>
      <c r="P17" s="43"/>
      <c r="Q17" s="43"/>
      <c r="R17" s="43"/>
    </row>
    <row r="18" spans="1:19" ht="36" customHeight="1" x14ac:dyDescent="0.2">
      <c r="A18" s="331" t="s">
        <v>26</v>
      </c>
      <c r="B18" s="331"/>
      <c r="C18" s="507"/>
      <c r="D18" s="507"/>
      <c r="E18" s="507"/>
      <c r="F18" s="507"/>
      <c r="I18" s="18" t="s">
        <v>27</v>
      </c>
      <c r="J18" s="510"/>
      <c r="K18" s="510"/>
      <c r="L18" s="510"/>
      <c r="M18" s="510"/>
      <c r="N18" s="510"/>
      <c r="O18" s="510"/>
      <c r="P18" s="510"/>
      <c r="Q18" s="6"/>
    </row>
    <row r="19" spans="1:19" ht="22.5" customHeight="1" x14ac:dyDescent="0.2">
      <c r="A19" s="12"/>
      <c r="B19" s="6"/>
      <c r="C19" s="6"/>
      <c r="D19" s="6"/>
      <c r="E19" s="6"/>
      <c r="F19" s="6"/>
      <c r="I19" s="3"/>
      <c r="J19" s="14"/>
      <c r="K19" s="14"/>
      <c r="P19" s="43"/>
      <c r="Q19" s="43"/>
      <c r="R19" s="43"/>
    </row>
    <row r="20" spans="1:19" ht="31.5" customHeight="1" x14ac:dyDescent="0.2">
      <c r="A20" s="2" t="s">
        <v>28</v>
      </c>
      <c r="B20" s="19"/>
      <c r="C20" s="560" t="s">
        <v>1404</v>
      </c>
      <c r="D20" s="561"/>
      <c r="E20" s="561"/>
      <c r="F20" s="561"/>
      <c r="G20" s="20"/>
      <c r="H20" s="20"/>
      <c r="I20" s="2" t="s">
        <v>29</v>
      </c>
      <c r="J20" s="19"/>
      <c r="K20" s="19"/>
      <c r="L20" s="560"/>
      <c r="M20" s="561"/>
      <c r="N20" s="561"/>
      <c r="O20" s="561"/>
      <c r="P20" s="332"/>
      <c r="Q20" s="379"/>
    </row>
    <row r="21" spans="1:19" ht="18.75" customHeight="1" x14ac:dyDescent="0.2">
      <c r="A21" s="2" t="s">
        <v>30</v>
      </c>
      <c r="B21" s="21"/>
      <c r="C21" s="606" t="s">
        <v>1405</v>
      </c>
      <c r="D21" s="606"/>
      <c r="E21" s="606"/>
      <c r="F21" s="606"/>
      <c r="G21" s="22"/>
      <c r="H21" s="22"/>
      <c r="I21" s="2" t="s">
        <v>31</v>
      </c>
      <c r="J21" s="21"/>
      <c r="K21" s="21"/>
      <c r="L21" s="508"/>
      <c r="M21" s="508"/>
      <c r="N21" s="508"/>
      <c r="O21" s="508"/>
      <c r="P21" s="508"/>
      <c r="Q21" s="6"/>
      <c r="R21" s="23"/>
    </row>
    <row r="22" spans="1:19" ht="18.75" customHeight="1" x14ac:dyDescent="0.2">
      <c r="A22" s="2" t="s">
        <v>32</v>
      </c>
      <c r="B22" s="21"/>
      <c r="C22" s="277" t="s">
        <v>474</v>
      </c>
      <c r="D22" s="277"/>
      <c r="E22" s="277"/>
      <c r="F22" s="277"/>
      <c r="G22" s="22"/>
      <c r="H22" s="22"/>
      <c r="I22" s="2" t="s">
        <v>33</v>
      </c>
      <c r="J22" s="21"/>
      <c r="K22" s="21"/>
      <c r="L22" s="508"/>
      <c r="M22" s="508"/>
      <c r="N22" s="508"/>
      <c r="O22" s="508"/>
      <c r="P22" s="508"/>
      <c r="Q22" s="6"/>
      <c r="R22" s="23"/>
    </row>
    <row r="23" spans="1:19" ht="18.75" customHeight="1" x14ac:dyDescent="0.2">
      <c r="A23" s="2" t="s">
        <v>34</v>
      </c>
      <c r="B23" s="21"/>
      <c r="C23" s="277">
        <v>94608</v>
      </c>
      <c r="D23" s="277"/>
      <c r="E23" s="277"/>
      <c r="F23" s="277"/>
      <c r="G23" s="22"/>
      <c r="H23" s="22"/>
      <c r="I23" s="2" t="s">
        <v>35</v>
      </c>
      <c r="J23" s="21"/>
      <c r="K23" s="21"/>
      <c r="L23" s="509"/>
      <c r="M23" s="509"/>
      <c r="N23" s="509"/>
      <c r="O23" s="509"/>
      <c r="P23" s="509"/>
      <c r="Q23" s="14"/>
      <c r="R23" s="23"/>
    </row>
    <row r="24" spans="1:19" ht="18.75" customHeight="1" x14ac:dyDescent="0.2">
      <c r="B24" s="21"/>
      <c r="C24" s="21"/>
      <c r="D24" s="21"/>
      <c r="E24" s="21"/>
      <c r="F24" s="24"/>
      <c r="G24" s="22"/>
      <c r="H24" s="22"/>
      <c r="I24" s="11"/>
      <c r="J24" s="23"/>
      <c r="K24" s="23"/>
      <c r="L24" s="23"/>
      <c r="M24" s="23"/>
      <c r="N24" s="23"/>
      <c r="O24" s="23"/>
      <c r="P24" s="23"/>
      <c r="Q24" s="23"/>
      <c r="R24" s="23"/>
    </row>
    <row r="25" spans="1:19" ht="18.75" customHeight="1" x14ac:dyDescent="0.2">
      <c r="A25" s="2" t="s">
        <v>36</v>
      </c>
      <c r="B25" s="21"/>
      <c r="C25" s="510" t="s">
        <v>10</v>
      </c>
      <c r="D25" s="510"/>
      <c r="E25" s="6"/>
      <c r="F25" s="24"/>
      <c r="G25" s="22"/>
      <c r="H25" s="22"/>
      <c r="I25" s="11"/>
      <c r="R25" s="23"/>
    </row>
    <row r="26" spans="1:19" ht="18.75" customHeight="1" x14ac:dyDescent="0.2">
      <c r="A26" s="25"/>
      <c r="B26" s="25"/>
      <c r="C26" s="25"/>
      <c r="D26" s="25"/>
      <c r="E26" s="25"/>
      <c r="F26" s="25"/>
      <c r="P26" s="330"/>
      <c r="Q26" s="330"/>
      <c r="R26" s="26"/>
    </row>
    <row r="27" spans="1:19" ht="34.5" customHeight="1" x14ac:dyDescent="0.2">
      <c r="A27" s="2" t="s">
        <v>37</v>
      </c>
      <c r="C27" s="550"/>
      <c r="D27" s="550"/>
      <c r="E27" s="43"/>
      <c r="F27" s="25"/>
      <c r="J27" s="581" t="s">
        <v>38</v>
      </c>
      <c r="K27" s="581"/>
      <c r="L27" s="581"/>
      <c r="M27" s="125"/>
      <c r="N27" s="125"/>
      <c r="O27" s="277">
        <v>94608</v>
      </c>
      <c r="P27" s="330"/>
      <c r="Q27" s="330"/>
      <c r="R27" s="26"/>
    </row>
    <row r="28" spans="1:19" ht="18.75" customHeight="1" x14ac:dyDescent="0.2">
      <c r="D28" s="25"/>
      <c r="E28" s="25"/>
      <c r="F28" s="25"/>
      <c r="P28" s="330"/>
      <c r="Q28" s="330"/>
      <c r="R28" s="26"/>
    </row>
    <row r="29" spans="1:19" ht="18.75" customHeight="1" x14ac:dyDescent="0.2">
      <c r="A29" s="2" t="s">
        <v>39</v>
      </c>
      <c r="C29" s="329"/>
      <c r="D29" s="329"/>
      <c r="E29" s="329"/>
      <c r="F29" s="329"/>
      <c r="G29" s="329"/>
      <c r="J29" s="2" t="s">
        <v>40</v>
      </c>
      <c r="O29" s="329"/>
      <c r="P29" s="329"/>
      <c r="Q29" s="329"/>
      <c r="R29" s="329"/>
      <c r="S29" s="329"/>
    </row>
    <row r="30" spans="1:19" ht="18.75" customHeight="1" x14ac:dyDescent="0.2">
      <c r="A30" s="2" t="s">
        <v>41</v>
      </c>
      <c r="C30" s="329"/>
      <c r="D30" s="329"/>
      <c r="E30" s="329"/>
      <c r="F30" s="329"/>
      <c r="G30" s="329"/>
      <c r="J30" s="2" t="s">
        <v>42</v>
      </c>
      <c r="O30" s="329"/>
      <c r="P30" s="329"/>
      <c r="Q30" s="329"/>
      <c r="R30" s="329"/>
      <c r="S30" s="329"/>
    </row>
    <row r="31" spans="1:19" ht="18.75" customHeight="1" x14ac:dyDescent="0.2">
      <c r="D31" s="25"/>
      <c r="E31" s="25"/>
      <c r="F31" s="25"/>
    </row>
    <row r="32" spans="1:19" ht="18.75" customHeight="1" x14ac:dyDescent="0.2">
      <c r="A32" s="2" t="s">
        <v>43</v>
      </c>
      <c r="C32" s="329"/>
      <c r="D32" s="329"/>
      <c r="E32" s="329"/>
      <c r="F32" s="329"/>
      <c r="G32" s="329"/>
      <c r="J32" s="72" t="s">
        <v>176</v>
      </c>
      <c r="K32" s="72"/>
      <c r="L32" s="3"/>
      <c r="M32" s="3"/>
      <c r="N32" s="3"/>
      <c r="O32" s="16"/>
    </row>
    <row r="33" spans="1:19" ht="28.5" customHeight="1" x14ac:dyDescent="0.2">
      <c r="A33" s="12" t="s">
        <v>44</v>
      </c>
      <c r="C33" s="329"/>
      <c r="D33" s="329"/>
      <c r="E33" s="329"/>
      <c r="F33" s="329"/>
      <c r="G33" s="329"/>
      <c r="J33" s="554" t="s">
        <v>177</v>
      </c>
      <c r="K33" s="555"/>
      <c r="L33" s="555"/>
      <c r="M33" s="555"/>
      <c r="N33" s="556"/>
      <c r="O33" s="62" t="s">
        <v>178</v>
      </c>
    </row>
    <row r="34" spans="1:19" ht="18.75" customHeight="1" x14ac:dyDescent="0.25">
      <c r="A34" s="12" t="s">
        <v>45</v>
      </c>
      <c r="B34" s="12"/>
      <c r="C34" s="565"/>
      <c r="D34" s="566"/>
      <c r="E34" s="566"/>
      <c r="F34" s="566"/>
      <c r="G34" s="566"/>
      <c r="H34" s="43"/>
      <c r="I34" s="330"/>
      <c r="J34" s="551" t="s">
        <v>179</v>
      </c>
      <c r="K34" s="552"/>
      <c r="L34" s="552"/>
      <c r="M34" s="552"/>
      <c r="N34" s="553"/>
      <c r="O34" s="140" t="s">
        <v>10</v>
      </c>
    </row>
    <row r="35" spans="1:19" ht="18.75" customHeight="1" x14ac:dyDescent="0.2">
      <c r="A35" s="12" t="s">
        <v>46</v>
      </c>
      <c r="B35" s="12"/>
      <c r="C35" s="557"/>
      <c r="D35" s="557"/>
      <c r="E35" s="557"/>
      <c r="F35" s="557"/>
      <c r="G35" s="557"/>
      <c r="I35" s="330"/>
      <c r="J35" s="551" t="s">
        <v>180</v>
      </c>
      <c r="K35" s="552"/>
      <c r="L35" s="552"/>
      <c r="M35" s="552"/>
      <c r="N35" s="553"/>
      <c r="O35" s="140" t="s">
        <v>13</v>
      </c>
    </row>
    <row r="36" spans="1:19" ht="42" customHeight="1" x14ac:dyDescent="0.2">
      <c r="A36" s="12"/>
      <c r="B36" s="12"/>
      <c r="J36" s="551" t="s">
        <v>181</v>
      </c>
      <c r="K36" s="552"/>
      <c r="L36" s="552"/>
      <c r="M36" s="552"/>
      <c r="N36" s="553"/>
      <c r="O36" s="140" t="s">
        <v>13</v>
      </c>
      <c r="R36" s="26"/>
    </row>
    <row r="37" spans="1:19" ht="18.75" customHeight="1" x14ac:dyDescent="0.2">
      <c r="I37" s="330"/>
      <c r="J37" s="551" t="s">
        <v>182</v>
      </c>
      <c r="K37" s="552"/>
      <c r="L37" s="552"/>
      <c r="M37" s="552"/>
      <c r="N37" s="553"/>
      <c r="O37" s="140" t="s">
        <v>10</v>
      </c>
      <c r="P37" s="330"/>
      <c r="Q37" s="330"/>
      <c r="R37" s="26"/>
    </row>
    <row r="38" spans="1:19" ht="18.75" customHeight="1" x14ac:dyDescent="0.2">
      <c r="A38" s="12"/>
      <c r="B38" s="12"/>
      <c r="I38" s="330"/>
      <c r="J38" s="551" t="s">
        <v>183</v>
      </c>
      <c r="K38" s="552"/>
      <c r="L38" s="552"/>
      <c r="M38" s="552"/>
      <c r="N38" s="553"/>
      <c r="O38" s="140" t="s">
        <v>13</v>
      </c>
    </row>
    <row r="39" spans="1:19" ht="18.75" customHeight="1" x14ac:dyDescent="0.2">
      <c r="I39" s="330"/>
    </row>
    <row r="40" spans="1:19" ht="18.75" customHeight="1" x14ac:dyDescent="0.2">
      <c r="I40" s="330"/>
      <c r="J40" s="330"/>
      <c r="K40" s="330"/>
      <c r="L40" s="330"/>
      <c r="M40" s="330"/>
      <c r="N40" s="330"/>
      <c r="O40" s="330"/>
      <c r="P40" s="330"/>
      <c r="Q40" s="330"/>
      <c r="R40" s="26"/>
    </row>
    <row r="41" spans="1:19" ht="24" customHeight="1" x14ac:dyDescent="0.2">
      <c r="A41" s="11" t="s">
        <v>47</v>
      </c>
    </row>
    <row r="42" spans="1:19" ht="24" customHeight="1" x14ac:dyDescent="0.25">
      <c r="A42" s="3" t="s">
        <v>48</v>
      </c>
      <c r="B42" s="477" t="s">
        <v>1394</v>
      </c>
      <c r="C42" s="477"/>
      <c r="D42" s="477"/>
      <c r="E42" s="477"/>
      <c r="F42" s="477"/>
      <c r="G42" s="3" t="s">
        <v>49</v>
      </c>
      <c r="H42" s="3"/>
      <c r="I42" s="429"/>
      <c r="J42" s="476" t="s">
        <v>1395</v>
      </c>
      <c r="K42" s="386"/>
      <c r="L42" s="27" t="s">
        <v>50</v>
      </c>
      <c r="M42" s="27"/>
      <c r="N42" s="27"/>
      <c r="O42" s="472" t="s">
        <v>1396</v>
      </c>
      <c r="P42" s="474"/>
      <c r="Q42" s="369"/>
    </row>
    <row r="43" spans="1:19" ht="17.25" customHeight="1" x14ac:dyDescent="0.25">
      <c r="A43" s="3" t="s">
        <v>51</v>
      </c>
      <c r="B43" s="477" t="s">
        <v>1394</v>
      </c>
      <c r="C43" s="477"/>
      <c r="D43" s="477"/>
      <c r="E43" s="477"/>
      <c r="F43" s="477"/>
      <c r="G43" s="3" t="s">
        <v>52</v>
      </c>
      <c r="H43" s="3"/>
      <c r="I43" s="444"/>
      <c r="J43" s="453">
        <v>0</v>
      </c>
      <c r="K43" s="387"/>
      <c r="L43" s="27" t="s">
        <v>50</v>
      </c>
      <c r="M43" s="27"/>
      <c r="N43" s="27"/>
      <c r="O43" s="472" t="s">
        <v>1396</v>
      </c>
      <c r="P43" s="474"/>
      <c r="Q43" s="370"/>
      <c r="R43" s="28"/>
      <c r="S43" s="28"/>
    </row>
    <row r="44" spans="1:19" ht="17.25" customHeight="1" x14ac:dyDescent="0.25">
      <c r="A44" s="3" t="s">
        <v>53</v>
      </c>
      <c r="B44" s="477" t="s">
        <v>1394</v>
      </c>
      <c r="C44" s="477"/>
      <c r="D44" s="477"/>
      <c r="E44" s="477"/>
      <c r="F44" s="477"/>
      <c r="G44" s="3" t="s">
        <v>52</v>
      </c>
      <c r="H44" s="3"/>
      <c r="I44" s="429"/>
      <c r="J44" s="453">
        <v>0</v>
      </c>
      <c r="K44" s="329"/>
      <c r="L44" s="27" t="s">
        <v>50</v>
      </c>
      <c r="M44" s="27"/>
      <c r="N44" s="27"/>
      <c r="O44" s="472" t="s">
        <v>1396</v>
      </c>
      <c r="P44" s="474"/>
      <c r="Q44" s="371"/>
      <c r="R44" s="28"/>
      <c r="S44" s="28"/>
    </row>
    <row r="45" spans="1:19" ht="17.25" customHeight="1" x14ac:dyDescent="0.25">
      <c r="A45" s="3" t="s">
        <v>54</v>
      </c>
      <c r="B45" s="477" t="s">
        <v>1394</v>
      </c>
      <c r="C45" s="477"/>
      <c r="D45" s="477"/>
      <c r="E45" s="477"/>
      <c r="F45" s="477"/>
      <c r="G45" s="3" t="s">
        <v>52</v>
      </c>
      <c r="H45" s="3"/>
      <c r="I45" s="429"/>
      <c r="J45" s="453">
        <v>0</v>
      </c>
      <c r="K45" s="329"/>
      <c r="L45" s="27" t="s">
        <v>50</v>
      </c>
      <c r="M45" s="27"/>
      <c r="N45" s="27"/>
      <c r="O45" s="472" t="s">
        <v>1396</v>
      </c>
      <c r="P45" s="474"/>
      <c r="Q45" s="371"/>
      <c r="R45" s="28"/>
      <c r="S45" s="28"/>
    </row>
    <row r="46" spans="1:19" ht="17.25" customHeight="1" x14ac:dyDescent="0.25">
      <c r="A46" s="3" t="s">
        <v>55</v>
      </c>
      <c r="B46" s="477" t="s">
        <v>1394</v>
      </c>
      <c r="C46" s="477"/>
      <c r="D46" s="477"/>
      <c r="E46" s="477"/>
      <c r="F46" s="477"/>
      <c r="G46" s="3" t="s">
        <v>52</v>
      </c>
      <c r="H46" s="3"/>
      <c r="I46" s="429"/>
      <c r="J46" s="453">
        <v>0</v>
      </c>
      <c r="K46" s="329"/>
      <c r="L46" s="27" t="s">
        <v>50</v>
      </c>
      <c r="M46" s="27"/>
      <c r="N46" s="27"/>
      <c r="O46" s="472" t="s">
        <v>1396</v>
      </c>
      <c r="P46" s="474"/>
      <c r="Q46" s="371"/>
      <c r="R46" s="28"/>
      <c r="S46" s="28"/>
    </row>
    <row r="47" spans="1:19" ht="22.5" customHeight="1" x14ac:dyDescent="0.2">
      <c r="A47" s="11" t="s">
        <v>56</v>
      </c>
    </row>
    <row r="48" spans="1:19" ht="18.75" customHeight="1" x14ac:dyDescent="0.2">
      <c r="A48" s="3" t="s">
        <v>57</v>
      </c>
      <c r="B48" s="417"/>
      <c r="C48" s="417" t="s">
        <v>1383</v>
      </c>
      <c r="D48" s="417" t="s">
        <v>1383</v>
      </c>
      <c r="E48" s="417"/>
      <c r="F48" s="417"/>
      <c r="I48" s="3" t="s">
        <v>58</v>
      </c>
      <c r="J48" s="419"/>
      <c r="K48" s="419"/>
      <c r="L48" s="419"/>
      <c r="M48" s="419"/>
      <c r="N48" s="419"/>
      <c r="O48" s="419"/>
      <c r="P48" s="419"/>
      <c r="Q48" s="360"/>
    </row>
    <row r="49" spans="1:18" ht="18.75" customHeight="1" x14ac:dyDescent="0.2">
      <c r="A49" s="3" t="s">
        <v>59</v>
      </c>
      <c r="B49" s="418"/>
      <c r="C49" s="418"/>
      <c r="D49" s="418"/>
      <c r="E49" s="418"/>
      <c r="F49" s="418"/>
      <c r="I49" s="3" t="s">
        <v>60</v>
      </c>
      <c r="J49" s="419"/>
      <c r="K49" s="419"/>
      <c r="L49" s="419"/>
      <c r="M49" s="360"/>
      <c r="N49" s="360"/>
      <c r="O49" s="29"/>
      <c r="P49" s="43"/>
      <c r="Q49" s="43"/>
      <c r="R49" s="43"/>
    </row>
    <row r="50" spans="1:18" ht="17.25" customHeight="1" x14ac:dyDescent="0.2">
      <c r="A50" s="3" t="s">
        <v>61</v>
      </c>
      <c r="B50" s="418"/>
      <c r="C50" s="418"/>
      <c r="D50" s="418"/>
      <c r="E50" s="418"/>
      <c r="F50" s="418"/>
    </row>
    <row r="51" spans="1:18" ht="17.25" customHeight="1" thickBot="1" x14ac:dyDescent="0.25">
      <c r="A51" s="7"/>
      <c r="B51" s="7"/>
      <c r="C51" s="7"/>
      <c r="D51" s="7"/>
      <c r="E51" s="7"/>
      <c r="F51" s="7"/>
      <c r="G51" s="7"/>
      <c r="H51" s="7"/>
      <c r="I51" s="7"/>
      <c r="J51" s="7"/>
      <c r="K51" s="7"/>
      <c r="L51" s="7"/>
      <c r="M51" s="7"/>
      <c r="N51" s="7"/>
      <c r="O51" s="7"/>
      <c r="P51" s="7"/>
    </row>
    <row r="52" spans="1:18" ht="17.25" customHeight="1" x14ac:dyDescent="0.2"/>
    <row r="53" spans="1:18" ht="17.25" customHeight="1" x14ac:dyDescent="0.25">
      <c r="A53" s="306" t="s">
        <v>62</v>
      </c>
      <c r="B53" s="12"/>
    </row>
    <row r="54" spans="1:18" ht="17.25" customHeight="1" x14ac:dyDescent="0.2">
      <c r="A54" s="102" t="s">
        <v>1077</v>
      </c>
      <c r="B54" s="328"/>
      <c r="C54" s="328"/>
      <c r="D54" s="328"/>
      <c r="E54" s="328"/>
      <c r="F54" s="30" t="s">
        <v>13</v>
      </c>
      <c r="G54" s="5"/>
      <c r="H54" s="5"/>
      <c r="I54" s="5"/>
      <c r="J54" s="32"/>
      <c r="K54" s="32"/>
      <c r="L54" s="32"/>
      <c r="M54" s="32"/>
      <c r="N54" s="32"/>
      <c r="O54" s="6"/>
      <c r="P54" s="6"/>
      <c r="Q54" s="6"/>
      <c r="R54" s="43"/>
    </row>
    <row r="55" spans="1:18" ht="17.25" customHeight="1" x14ac:dyDescent="0.2">
      <c r="A55" s="102" t="s">
        <v>63</v>
      </c>
      <c r="B55" s="328"/>
      <c r="C55" s="328"/>
      <c r="D55" s="328"/>
      <c r="E55" s="328"/>
      <c r="F55" s="30" t="s">
        <v>13</v>
      </c>
      <c r="G55" s="5"/>
      <c r="H55" s="5"/>
      <c r="I55" s="5"/>
      <c r="J55" s="32" t="s">
        <v>64</v>
      </c>
      <c r="K55" s="32"/>
      <c r="L55" s="32"/>
      <c r="M55" s="32"/>
      <c r="N55" s="32"/>
      <c r="O55" s="327"/>
      <c r="P55" s="327"/>
      <c r="Q55" s="6"/>
      <c r="R55" s="43"/>
    </row>
    <row r="56" spans="1:18" ht="17.25" customHeight="1" x14ac:dyDescent="0.2">
      <c r="A56" s="12" t="s">
        <v>65</v>
      </c>
      <c r="B56" s="12"/>
      <c r="C56" s="12"/>
      <c r="D56" s="12"/>
      <c r="E56" s="12"/>
      <c r="F56" s="31"/>
      <c r="G56" s="31"/>
      <c r="H56" s="31"/>
      <c r="I56" s="31"/>
      <c r="J56" s="31"/>
      <c r="K56" s="31"/>
      <c r="L56" s="31"/>
      <c r="M56" s="31"/>
      <c r="N56" s="31"/>
      <c r="O56" s="31"/>
      <c r="P56" s="31"/>
      <c r="Q56" s="372"/>
      <c r="R56" s="43"/>
    </row>
    <row r="57" spans="1:18" ht="17.25" customHeight="1" x14ac:dyDescent="0.2">
      <c r="A57" s="12"/>
      <c r="B57" s="12"/>
      <c r="C57" s="12"/>
      <c r="D57" s="12"/>
      <c r="E57" s="12"/>
      <c r="F57" s="6"/>
      <c r="G57" s="5"/>
      <c r="H57" s="5"/>
      <c r="I57" s="5"/>
      <c r="J57" s="32"/>
      <c r="K57" s="32"/>
      <c r="L57" s="32"/>
      <c r="M57" s="32"/>
      <c r="N57" s="32"/>
      <c r="O57" s="6"/>
      <c r="P57" s="6"/>
      <c r="Q57" s="6"/>
      <c r="R57" s="43"/>
    </row>
    <row r="58" spans="1:18" ht="17.25" customHeight="1" x14ac:dyDescent="0.2">
      <c r="A58" s="102" t="s">
        <v>66</v>
      </c>
      <c r="B58" s="328"/>
      <c r="C58" s="328"/>
      <c r="D58" s="328"/>
      <c r="E58" s="328"/>
      <c r="F58" s="30" t="s">
        <v>13</v>
      </c>
      <c r="G58" s="5"/>
      <c r="H58" s="5"/>
      <c r="I58" s="5"/>
      <c r="J58" s="32"/>
      <c r="K58" s="32"/>
      <c r="L58" s="32" t="s">
        <v>67</v>
      </c>
      <c r="M58" s="32"/>
      <c r="N58" s="32"/>
      <c r="O58" s="327"/>
      <c r="P58" s="327"/>
      <c r="Q58" s="6"/>
      <c r="R58" s="43"/>
    </row>
    <row r="59" spans="1:18" ht="17.25" customHeight="1" x14ac:dyDescent="0.2">
      <c r="A59" s="102" t="s">
        <v>68</v>
      </c>
      <c r="B59" s="328"/>
      <c r="C59" s="328"/>
      <c r="D59" s="328"/>
      <c r="E59" s="328"/>
      <c r="F59" s="30" t="s">
        <v>13</v>
      </c>
      <c r="G59" s="5"/>
      <c r="H59" s="5"/>
      <c r="I59" s="5"/>
      <c r="J59" s="33"/>
      <c r="K59" s="33"/>
      <c r="L59" s="34" t="s">
        <v>69</v>
      </c>
      <c r="M59" s="34"/>
      <c r="N59" s="34"/>
      <c r="O59" s="447" t="s">
        <v>1406</v>
      </c>
      <c r="P59" s="326"/>
      <c r="Q59" s="373"/>
      <c r="R59" s="35"/>
    </row>
    <row r="60" spans="1:18" ht="17.25" customHeight="1" x14ac:dyDescent="0.2">
      <c r="A60" s="36" t="s">
        <v>70</v>
      </c>
      <c r="B60" s="37"/>
      <c r="C60" s="37"/>
      <c r="D60" s="37"/>
      <c r="E60" s="37"/>
      <c r="F60" s="30" t="s">
        <v>13</v>
      </c>
      <c r="G60" s="5"/>
      <c r="H60" s="5"/>
      <c r="I60" s="5"/>
      <c r="J60" s="582" t="s">
        <v>71</v>
      </c>
      <c r="K60" s="582"/>
      <c r="L60" s="582"/>
      <c r="M60" s="347"/>
      <c r="N60" s="347"/>
      <c r="O60" s="326"/>
      <c r="P60" s="326"/>
      <c r="Q60" s="373"/>
      <c r="R60" s="35"/>
    </row>
    <row r="61" spans="1:18" ht="17.25" customHeight="1" x14ac:dyDescent="0.2">
      <c r="A61" s="325" t="s">
        <v>72</v>
      </c>
      <c r="B61" s="325"/>
      <c r="C61" s="325"/>
      <c r="D61" s="19"/>
      <c r="E61" s="19"/>
      <c r="F61" s="31"/>
      <c r="G61" s="31"/>
      <c r="H61" s="31"/>
      <c r="I61" s="31"/>
      <c r="J61" s="31"/>
      <c r="K61" s="31"/>
      <c r="L61" s="31"/>
      <c r="M61" s="31"/>
      <c r="N61" s="31"/>
      <c r="O61" s="31"/>
      <c r="P61" s="31"/>
      <c r="Q61" s="372"/>
    </row>
    <row r="62" spans="1:18" ht="17.25" customHeight="1" x14ac:dyDescent="0.2">
      <c r="A62" s="12" t="s">
        <v>73</v>
      </c>
      <c r="B62" s="12"/>
      <c r="C62" s="12"/>
      <c r="D62" s="12"/>
      <c r="E62" s="12"/>
      <c r="F62" s="38"/>
      <c r="G62" s="38"/>
      <c r="H62" s="38"/>
      <c r="I62" s="38"/>
      <c r="J62" s="38"/>
      <c r="K62" s="38"/>
      <c r="L62" s="38"/>
      <c r="M62" s="38"/>
      <c r="N62" s="38"/>
      <c r="O62" s="38"/>
      <c r="P62" s="38"/>
      <c r="Q62" s="5"/>
    </row>
    <row r="63" spans="1:18" ht="17.25" customHeight="1" x14ac:dyDescent="0.2">
      <c r="A63" s="12" t="s">
        <v>74</v>
      </c>
      <c r="B63" s="12"/>
      <c r="C63" s="12"/>
      <c r="D63" s="12"/>
      <c r="E63" s="12"/>
      <c r="F63" s="38"/>
      <c r="G63" s="38"/>
      <c r="H63" s="38"/>
      <c r="I63" s="38"/>
      <c r="J63" s="38"/>
      <c r="K63" s="38"/>
      <c r="L63" s="38"/>
      <c r="M63" s="38"/>
      <c r="N63" s="38"/>
      <c r="O63" s="38"/>
      <c r="P63" s="38"/>
      <c r="Q63" s="5"/>
    </row>
    <row r="64" spans="1:18" ht="17.25" customHeight="1" x14ac:dyDescent="0.2">
      <c r="A64" s="12" t="s">
        <v>75</v>
      </c>
      <c r="B64" s="12"/>
      <c r="C64" s="12"/>
      <c r="D64" s="12"/>
      <c r="E64" s="12"/>
      <c r="F64" s="39"/>
      <c r="G64" s="38"/>
      <c r="H64" s="38"/>
      <c r="I64" s="38"/>
      <c r="J64" s="38"/>
      <c r="K64" s="38"/>
      <c r="L64" s="38"/>
      <c r="M64" s="38"/>
      <c r="N64" s="38"/>
      <c r="O64" s="38"/>
      <c r="P64" s="38"/>
      <c r="Q64" s="5"/>
    </row>
    <row r="65" spans="1:19" ht="17.25" customHeight="1" x14ac:dyDescent="0.2">
      <c r="A65" s="12"/>
      <c r="B65" s="12"/>
      <c r="C65" s="12"/>
      <c r="D65" s="12"/>
      <c r="E65" s="12"/>
      <c r="F65" s="39"/>
      <c r="G65" s="5"/>
      <c r="H65" s="5"/>
      <c r="I65" s="5"/>
      <c r="J65" s="5"/>
      <c r="K65" s="5"/>
      <c r="L65" s="5"/>
      <c r="M65" s="5"/>
      <c r="N65" s="5"/>
      <c r="O65" s="5"/>
      <c r="P65" s="5"/>
      <c r="Q65" s="5"/>
    </row>
    <row r="66" spans="1:19" ht="17.25" customHeight="1" x14ac:dyDescent="0.2">
      <c r="A66" s="422" t="s">
        <v>1364</v>
      </c>
      <c r="B66" s="328"/>
      <c r="C66" s="328"/>
      <c r="D66" s="328"/>
      <c r="E66" s="328"/>
      <c r="F66" s="30" t="s">
        <v>13</v>
      </c>
      <c r="G66" s="40"/>
      <c r="H66" s="40"/>
      <c r="I66" s="40"/>
      <c r="J66" s="40"/>
      <c r="K66" s="40"/>
      <c r="L66" s="40"/>
      <c r="M66" s="40"/>
      <c r="N66" s="40"/>
      <c r="O66" s="40"/>
      <c r="P66" s="40"/>
      <c r="Q66" s="40"/>
    </row>
    <row r="67" spans="1:19" ht="25.9" customHeight="1" x14ac:dyDescent="0.2">
      <c r="A67" s="12" t="s">
        <v>980</v>
      </c>
      <c r="C67" s="391"/>
      <c r="D67" s="390"/>
      <c r="E67" s="19"/>
      <c r="F67" s="348"/>
      <c r="G67" s="31"/>
      <c r="H67" s="31"/>
      <c r="I67" s="31"/>
      <c r="J67" s="31"/>
      <c r="K67" s="31"/>
      <c r="L67" s="31"/>
      <c r="M67" s="31"/>
      <c r="N67" s="31"/>
      <c r="O67" s="31"/>
      <c r="P67" s="31"/>
      <c r="Q67" s="372"/>
    </row>
    <row r="68" spans="1:19" ht="27" customHeight="1" x14ac:dyDescent="0.2">
      <c r="A68" s="12" t="s">
        <v>981</v>
      </c>
      <c r="C68" s="391"/>
      <c r="D68" s="41"/>
      <c r="E68" s="41"/>
      <c r="F68" s="348"/>
      <c r="G68" s="348"/>
      <c r="H68" s="348"/>
      <c r="I68" s="348"/>
      <c r="J68" s="348"/>
      <c r="K68" s="348"/>
      <c r="L68" s="348"/>
      <c r="M68" s="348"/>
      <c r="N68" s="348"/>
      <c r="O68" s="348"/>
      <c r="P68" s="348"/>
      <c r="Q68" s="20"/>
    </row>
    <row r="69" spans="1:19" ht="17.25" customHeight="1" thickBot="1" x14ac:dyDescent="0.25">
      <c r="C69" s="41"/>
      <c r="D69" s="41"/>
      <c r="E69" s="41"/>
      <c r="F69" s="20"/>
      <c r="G69" s="20"/>
      <c r="H69" s="20"/>
      <c r="I69" s="20"/>
      <c r="J69" s="20"/>
      <c r="K69" s="20"/>
      <c r="L69" s="20"/>
      <c r="M69" s="20"/>
      <c r="N69" s="20"/>
      <c r="O69" s="20"/>
      <c r="P69" s="20"/>
      <c r="Q69" s="20"/>
    </row>
    <row r="70" spans="1:19" ht="17.25" customHeight="1" x14ac:dyDescent="0.25">
      <c r="A70" s="74" t="s">
        <v>185</v>
      </c>
      <c r="B70" s="75"/>
      <c r="C70" s="292"/>
      <c r="D70" s="292"/>
      <c r="E70" s="292"/>
      <c r="F70" s="76"/>
      <c r="G70" s="76"/>
      <c r="H70" s="76"/>
      <c r="I70" s="292"/>
      <c r="J70" s="292"/>
      <c r="K70" s="292"/>
      <c r="L70" s="293"/>
      <c r="M70" s="293"/>
      <c r="N70" s="293"/>
      <c r="O70" s="293"/>
      <c r="P70" s="293"/>
      <c r="Q70" s="293"/>
      <c r="R70" s="77"/>
      <c r="S70" s="78"/>
    </row>
    <row r="71" spans="1:19" ht="17.25" customHeight="1" x14ac:dyDescent="0.25">
      <c r="A71" s="79"/>
      <c r="C71" s="333"/>
      <c r="D71" s="333"/>
      <c r="E71" s="333"/>
      <c r="F71" s="80"/>
      <c r="G71" s="80"/>
      <c r="H71" s="80"/>
      <c r="I71" s="333"/>
      <c r="J71" s="333"/>
      <c r="K71" s="333"/>
      <c r="L71" s="81"/>
      <c r="M71" s="81"/>
      <c r="N71" s="81"/>
      <c r="O71" s="81"/>
      <c r="P71" s="81"/>
      <c r="Q71" s="81"/>
      <c r="R71" s="82"/>
      <c r="S71" s="83"/>
    </row>
    <row r="72" spans="1:19" ht="17.25" customHeight="1" x14ac:dyDescent="0.2">
      <c r="A72" s="288" t="s">
        <v>186</v>
      </c>
      <c r="B72" s="289"/>
      <c r="C72" s="546" t="s">
        <v>420</v>
      </c>
      <c r="D72" s="548"/>
      <c r="E72" s="88"/>
      <c r="F72" s="80"/>
      <c r="G72" s="80"/>
      <c r="H72" s="80"/>
      <c r="I72" s="333"/>
      <c r="J72" s="333"/>
      <c r="K72" s="333"/>
      <c r="L72" s="81"/>
      <c r="M72" s="81"/>
      <c r="N72" s="81"/>
      <c r="O72" s="81"/>
      <c r="P72" s="81"/>
      <c r="Q72" s="81"/>
      <c r="R72" s="82"/>
      <c r="S72" s="83"/>
    </row>
    <row r="73" spans="1:19" ht="17.25" customHeight="1" x14ac:dyDescent="0.2">
      <c r="A73" s="84"/>
      <c r="B73" s="85"/>
      <c r="C73" s="85"/>
      <c r="D73" s="85"/>
      <c r="E73" s="25"/>
      <c r="F73" s="25"/>
      <c r="S73" s="86"/>
    </row>
    <row r="74" spans="1:19" ht="42.75" customHeight="1" x14ac:dyDescent="0.2">
      <c r="A74" s="290" t="s">
        <v>188</v>
      </c>
      <c r="B74" s="291"/>
      <c r="C74" s="567" t="s">
        <v>189</v>
      </c>
      <c r="D74" s="568"/>
      <c r="E74" s="363"/>
      <c r="F74" s="87"/>
      <c r="G74" s="511" t="s">
        <v>190</v>
      </c>
      <c r="H74" s="512"/>
      <c r="I74" s="513"/>
      <c r="J74" s="577" t="s">
        <v>191</v>
      </c>
      <c r="K74" s="578"/>
      <c r="L74" s="579"/>
      <c r="M74" s="366"/>
      <c r="N74" s="366"/>
      <c r="S74" s="86"/>
    </row>
    <row r="75" spans="1:19" ht="17.25" customHeight="1" x14ac:dyDescent="0.2">
      <c r="A75" s="288" t="s">
        <v>192</v>
      </c>
      <c r="B75" s="289"/>
      <c r="C75" s="546" t="s">
        <v>403</v>
      </c>
      <c r="D75" s="548"/>
      <c r="E75" s="88"/>
      <c r="G75" s="597" t="s">
        <v>194</v>
      </c>
      <c r="H75" s="670"/>
      <c r="I75" s="598"/>
      <c r="J75" s="546" t="s">
        <v>195</v>
      </c>
      <c r="K75" s="547"/>
      <c r="L75" s="548"/>
      <c r="M75" s="88"/>
      <c r="N75" s="88"/>
      <c r="S75" s="86"/>
    </row>
    <row r="76" spans="1:19" ht="17.25" customHeight="1" x14ac:dyDescent="0.2">
      <c r="A76" s="563" t="s">
        <v>1372</v>
      </c>
      <c r="B76" s="564"/>
      <c r="C76" s="546">
        <v>750000</v>
      </c>
      <c r="D76" s="548"/>
      <c r="E76" s="88"/>
      <c r="G76" s="597" t="s">
        <v>197</v>
      </c>
      <c r="H76" s="670"/>
      <c r="I76" s="598"/>
      <c r="J76" s="546">
        <v>1000</v>
      </c>
      <c r="K76" s="547"/>
      <c r="L76" s="548"/>
      <c r="M76" s="88"/>
      <c r="N76" s="88"/>
      <c r="S76" s="86"/>
    </row>
    <row r="77" spans="1:19" ht="17.25" customHeight="1" x14ac:dyDescent="0.2">
      <c r="A77" s="288" t="s">
        <v>1373</v>
      </c>
      <c r="B77" s="289"/>
      <c r="C77" s="546"/>
      <c r="D77" s="548"/>
      <c r="E77" s="88"/>
      <c r="G77" s="576" t="s">
        <v>198</v>
      </c>
      <c r="H77" s="576"/>
      <c r="I77" s="576"/>
      <c r="J77" s="549">
        <v>1000</v>
      </c>
      <c r="K77" s="549"/>
      <c r="L77" s="549"/>
      <c r="M77" s="88"/>
      <c r="N77" s="88"/>
      <c r="S77" s="86"/>
    </row>
    <row r="78" spans="1:19" ht="17.25" customHeight="1" x14ac:dyDescent="0.2">
      <c r="A78" s="288" t="s">
        <v>87</v>
      </c>
      <c r="B78" s="289"/>
      <c r="C78" s="546">
        <v>0</v>
      </c>
      <c r="D78" s="548"/>
      <c r="E78" s="88"/>
      <c r="G78" s="576" t="s">
        <v>1080</v>
      </c>
      <c r="H78" s="576"/>
      <c r="I78" s="576"/>
      <c r="J78" s="571" t="s">
        <v>455</v>
      </c>
      <c r="K78" s="571"/>
      <c r="L78" s="571"/>
      <c r="M78" s="88"/>
      <c r="N78" s="88"/>
      <c r="S78" s="86"/>
    </row>
    <row r="79" spans="1:19" ht="17.25" customHeight="1" x14ac:dyDescent="0.2">
      <c r="A79" s="288" t="s">
        <v>199</v>
      </c>
      <c r="B79" s="289"/>
      <c r="C79" s="523">
        <v>75000</v>
      </c>
      <c r="D79" s="524"/>
      <c r="E79" s="364"/>
      <c r="M79" s="367"/>
      <c r="N79" s="367"/>
      <c r="S79" s="86"/>
    </row>
    <row r="80" spans="1:19" ht="17.25" customHeight="1" x14ac:dyDescent="0.2">
      <c r="A80" s="288" t="s">
        <v>201</v>
      </c>
      <c r="B80" s="289"/>
      <c r="C80" s="523" t="s">
        <v>195</v>
      </c>
      <c r="D80" s="524"/>
      <c r="E80" s="364"/>
      <c r="F80" s="15" t="s">
        <v>200</v>
      </c>
      <c r="G80" s="333"/>
      <c r="H80" s="333"/>
      <c r="I80" s="674">
        <v>74000</v>
      </c>
      <c r="J80" s="674"/>
      <c r="K80" s="674"/>
      <c r="L80" s="674"/>
      <c r="S80" s="86"/>
    </row>
    <row r="81" spans="1:21" ht="17.25" customHeight="1" x14ac:dyDescent="0.2">
      <c r="A81" s="288" t="s">
        <v>1163</v>
      </c>
      <c r="B81" s="289"/>
      <c r="C81" s="523" t="s">
        <v>195</v>
      </c>
      <c r="D81" s="524"/>
      <c r="E81" s="364"/>
      <c r="S81" s="86"/>
    </row>
    <row r="82" spans="1:21" ht="17.25" customHeight="1" x14ac:dyDescent="0.2">
      <c r="A82" s="288" t="s">
        <v>202</v>
      </c>
      <c r="B82" s="289"/>
      <c r="C82" s="523" t="s">
        <v>195</v>
      </c>
      <c r="D82" s="524"/>
      <c r="E82" s="364"/>
      <c r="S82" s="86"/>
    </row>
    <row r="83" spans="1:21" ht="26.25" customHeight="1" x14ac:dyDescent="0.2">
      <c r="A83" s="288" t="s">
        <v>1370</v>
      </c>
      <c r="B83" s="289"/>
      <c r="C83" s="523"/>
      <c r="D83" s="524"/>
      <c r="E83" s="364"/>
      <c r="S83" s="86"/>
    </row>
    <row r="84" spans="1:21" ht="17.25" customHeight="1" x14ac:dyDescent="0.2">
      <c r="A84" s="288" t="s">
        <v>1371</v>
      </c>
      <c r="B84" s="289"/>
      <c r="C84" s="523" t="s">
        <v>13</v>
      </c>
      <c r="D84" s="524"/>
      <c r="E84" s="364"/>
      <c r="S84" s="86"/>
    </row>
    <row r="85" spans="1:21" ht="17.25" customHeight="1" x14ac:dyDescent="0.2">
      <c r="A85" s="288" t="s">
        <v>1363</v>
      </c>
      <c r="B85" s="289"/>
      <c r="C85" s="523" t="s">
        <v>13</v>
      </c>
      <c r="D85" s="524"/>
      <c r="E85" s="364"/>
      <c r="S85" s="86"/>
    </row>
    <row r="86" spans="1:21" ht="30" customHeight="1" x14ac:dyDescent="0.2">
      <c r="A86" s="288" t="s">
        <v>1080</v>
      </c>
      <c r="B86" s="289"/>
      <c r="C86" s="572" t="s">
        <v>455</v>
      </c>
      <c r="D86" s="573"/>
      <c r="E86" s="365"/>
      <c r="G86" s="89"/>
      <c r="H86" s="89"/>
      <c r="S86" s="86"/>
    </row>
    <row r="87" spans="1:21" ht="17.25" customHeight="1" x14ac:dyDescent="0.35">
      <c r="A87" s="90" t="s">
        <v>204</v>
      </c>
      <c r="S87" s="86"/>
    </row>
    <row r="88" spans="1:21" ht="21" customHeight="1" x14ac:dyDescent="0.2">
      <c r="A88" s="90" t="s">
        <v>1374</v>
      </c>
      <c r="S88" s="86"/>
    </row>
    <row r="89" spans="1:21" ht="10.5" customHeight="1" thickBot="1" x14ac:dyDescent="0.25">
      <c r="A89" s="92"/>
      <c r="B89" s="7"/>
      <c r="C89" s="7"/>
      <c r="D89" s="7"/>
      <c r="E89" s="7"/>
      <c r="F89" s="7"/>
      <c r="G89" s="7"/>
      <c r="H89" s="7"/>
      <c r="I89" s="7"/>
      <c r="J89" s="7"/>
      <c r="K89" s="7"/>
      <c r="L89" s="7"/>
      <c r="M89" s="7"/>
      <c r="N89" s="7"/>
      <c r="O89" s="7"/>
      <c r="P89" s="7"/>
      <c r="Q89" s="7"/>
      <c r="R89" s="7"/>
      <c r="S89" s="93"/>
    </row>
    <row r="90" spans="1:21" ht="17.25" customHeight="1" x14ac:dyDescent="0.2">
      <c r="C90" s="41"/>
      <c r="D90" s="41"/>
      <c r="E90" s="41"/>
      <c r="F90" s="20"/>
      <c r="G90" s="20"/>
      <c r="H90" s="20"/>
      <c r="I90" s="20"/>
      <c r="J90" s="20"/>
      <c r="K90" s="20"/>
      <c r="L90" s="20"/>
      <c r="M90" s="20"/>
      <c r="N90" s="20"/>
      <c r="O90" s="20"/>
      <c r="P90" s="20"/>
      <c r="Q90" s="20"/>
    </row>
    <row r="91" spans="1:21" ht="17.25" customHeight="1" x14ac:dyDescent="0.2">
      <c r="C91" s="41"/>
      <c r="D91" s="41"/>
      <c r="E91" s="41"/>
      <c r="F91" s="20"/>
      <c r="G91" s="20"/>
      <c r="H91" s="20"/>
      <c r="I91" s="20"/>
      <c r="J91" s="20"/>
      <c r="K91" s="20"/>
      <c r="L91" s="20"/>
      <c r="M91" s="20"/>
      <c r="N91" s="20"/>
      <c r="O91" s="20"/>
      <c r="P91" s="20"/>
      <c r="Q91" s="20"/>
    </row>
    <row r="92" spans="1:21" ht="17.25" customHeight="1" x14ac:dyDescent="0.2">
      <c r="A92" s="671" t="s">
        <v>76</v>
      </c>
      <c r="B92" s="672"/>
      <c r="C92" s="672"/>
      <c r="D92" s="672"/>
      <c r="E92" s="673"/>
      <c r="F92" s="495">
        <v>0</v>
      </c>
      <c r="G92" s="497"/>
      <c r="H92" s="368"/>
    </row>
    <row r="93" spans="1:21" ht="9" customHeight="1" x14ac:dyDescent="0.25">
      <c r="A93" s="1"/>
    </row>
    <row r="94" spans="1:21" ht="18.75" customHeight="1" x14ac:dyDescent="0.25">
      <c r="A94" s="574" t="s">
        <v>77</v>
      </c>
      <c r="B94" s="575"/>
      <c r="C94" s="501" t="s">
        <v>78</v>
      </c>
      <c r="D94" s="502"/>
      <c r="E94" s="503"/>
      <c r="F94" s="501" t="s">
        <v>79</v>
      </c>
      <c r="G94" s="502"/>
      <c r="H94" s="503"/>
      <c r="I94" s="501" t="s">
        <v>80</v>
      </c>
      <c r="J94" s="502"/>
      <c r="K94" s="503"/>
      <c r="L94" s="501" t="s">
        <v>81</v>
      </c>
      <c r="M94" s="502"/>
      <c r="N94" s="503"/>
      <c r="O94" s="501" t="s">
        <v>82</v>
      </c>
      <c r="P94" s="502"/>
      <c r="Q94" s="503"/>
      <c r="R94" s="323" t="s">
        <v>83</v>
      </c>
      <c r="S94" s="465"/>
      <c r="T94" s="324"/>
    </row>
    <row r="95" spans="1:21" ht="18.75" customHeight="1" x14ac:dyDescent="0.2">
      <c r="A95" s="597" t="s">
        <v>975</v>
      </c>
      <c r="B95" s="598"/>
      <c r="C95" s="521">
        <v>45971</v>
      </c>
      <c r="D95" s="522"/>
      <c r="E95" s="438"/>
      <c r="F95" s="521"/>
      <c r="G95" s="522"/>
      <c r="H95" s="438"/>
      <c r="I95" s="521"/>
      <c r="J95" s="522"/>
      <c r="K95" s="438"/>
      <c r="L95" s="457"/>
      <c r="M95" s="438"/>
      <c r="N95" s="438"/>
      <c r="O95" s="521"/>
      <c r="P95" s="541"/>
      <c r="Q95" s="457"/>
      <c r="R95" s="521"/>
      <c r="S95" s="541"/>
      <c r="T95" s="521"/>
      <c r="U95" s="522"/>
    </row>
    <row r="96" spans="1:21" ht="18.75" customHeight="1" x14ac:dyDescent="0.2">
      <c r="A96" s="597" t="s">
        <v>976</v>
      </c>
      <c r="B96" s="598"/>
      <c r="C96" s="521">
        <v>46336</v>
      </c>
      <c r="D96" s="522"/>
      <c r="E96" s="438"/>
      <c r="F96" s="521"/>
      <c r="G96" s="522"/>
      <c r="H96" s="438"/>
      <c r="I96" s="521"/>
      <c r="J96" s="541"/>
      <c r="K96" s="438"/>
      <c r="L96" s="457"/>
      <c r="M96" s="438"/>
      <c r="N96" s="438"/>
      <c r="O96" s="521"/>
      <c r="P96" s="541"/>
      <c r="Q96" s="457"/>
      <c r="R96" s="521"/>
      <c r="S96" s="541"/>
      <c r="T96" s="521"/>
      <c r="U96" s="522"/>
    </row>
    <row r="97" spans="1:21" ht="18.75" customHeight="1" x14ac:dyDescent="0.2">
      <c r="A97" s="597" t="s">
        <v>84</v>
      </c>
      <c r="B97" s="598"/>
      <c r="C97" s="534"/>
      <c r="D97" s="535"/>
      <c r="E97" s="534"/>
      <c r="F97" s="543"/>
      <c r="G97" s="543"/>
      <c r="H97" s="535"/>
      <c r="I97" s="534"/>
      <c r="J97" s="535"/>
      <c r="K97" s="466"/>
      <c r="L97" s="534"/>
      <c r="M97" s="535"/>
      <c r="N97" s="452"/>
      <c r="O97" s="534"/>
      <c r="P97" s="535"/>
      <c r="Q97" s="458"/>
      <c r="R97" s="534"/>
      <c r="S97" s="535"/>
      <c r="T97" s="534"/>
      <c r="U97" s="543"/>
    </row>
    <row r="98" spans="1:21" ht="18.75" customHeight="1" x14ac:dyDescent="0.2">
      <c r="A98" s="597" t="s">
        <v>85</v>
      </c>
      <c r="B98" s="598"/>
      <c r="C98" s="542"/>
      <c r="D98" s="497"/>
      <c r="E98" s="446"/>
      <c r="F98" s="542"/>
      <c r="G98" s="496"/>
      <c r="H98" s="428"/>
      <c r="I98" s="542"/>
      <c r="J98" s="496"/>
      <c r="K98" s="428"/>
      <c r="L98" s="446"/>
      <c r="M98" s="456"/>
      <c r="N98" s="428"/>
      <c r="O98" s="495"/>
      <c r="P98" s="497"/>
      <c r="Q98" s="446"/>
      <c r="R98" s="495"/>
      <c r="S98" s="497"/>
      <c r="T98" s="495"/>
      <c r="U98" s="496"/>
    </row>
    <row r="99" spans="1:21" ht="18.75" customHeight="1" x14ac:dyDescent="0.2">
      <c r="A99" s="597" t="s">
        <v>87</v>
      </c>
      <c r="B99" s="598"/>
      <c r="C99" s="495"/>
      <c r="D99" s="497"/>
      <c r="E99" s="446"/>
      <c r="F99" s="495"/>
      <c r="G99" s="496"/>
      <c r="H99" s="428"/>
      <c r="I99" s="495"/>
      <c r="J99" s="496"/>
      <c r="K99" s="428"/>
      <c r="L99" s="446"/>
      <c r="M99" s="456"/>
      <c r="N99" s="428"/>
      <c r="O99" s="495"/>
      <c r="P99" s="497"/>
      <c r="Q99" s="446"/>
      <c r="R99" s="495"/>
      <c r="S99" s="497"/>
      <c r="T99" s="495"/>
      <c r="U99" s="496"/>
    </row>
    <row r="100" spans="1:21" ht="18.75" customHeight="1" x14ac:dyDescent="0.2">
      <c r="A100" s="597" t="s">
        <v>88</v>
      </c>
      <c r="B100" s="598"/>
      <c r="C100" s="514"/>
      <c r="D100" s="516"/>
      <c r="E100" s="445"/>
      <c r="F100" s="544"/>
      <c r="G100" s="515"/>
      <c r="H100" s="427"/>
      <c r="I100" s="514"/>
      <c r="J100" s="515"/>
      <c r="K100" s="427"/>
      <c r="L100" s="445"/>
      <c r="M100" s="426"/>
      <c r="N100" s="427"/>
      <c r="O100" s="514"/>
      <c r="P100" s="516"/>
      <c r="Q100" s="445"/>
      <c r="R100" s="514"/>
      <c r="S100" s="516"/>
      <c r="T100" s="514"/>
      <c r="U100" s="516"/>
    </row>
    <row r="101" spans="1:21" ht="18.75" customHeight="1" x14ac:dyDescent="0.2">
      <c r="A101" s="597" t="s">
        <v>89</v>
      </c>
      <c r="B101" s="598"/>
      <c r="C101" s="514"/>
      <c r="D101" s="516"/>
      <c r="E101" s="445"/>
      <c r="F101" s="544"/>
      <c r="G101" s="515"/>
      <c r="H101" s="427"/>
      <c r="I101" s="445"/>
      <c r="J101" s="426"/>
      <c r="K101" s="427"/>
      <c r="L101" s="445"/>
      <c r="M101" s="426"/>
      <c r="N101" s="427"/>
      <c r="O101" s="514"/>
      <c r="P101" s="516"/>
      <c r="Q101" s="445"/>
      <c r="R101" s="514"/>
      <c r="S101" s="516"/>
      <c r="T101" s="514"/>
      <c r="U101" s="516"/>
    </row>
    <row r="102" spans="1:21" ht="18.75" customHeight="1" x14ac:dyDescent="0.25">
      <c r="A102" s="597" t="s">
        <v>90</v>
      </c>
      <c r="B102" s="598"/>
      <c r="C102" s="498"/>
      <c r="D102" s="499"/>
      <c r="E102" s="500"/>
      <c r="F102" s="380"/>
      <c r="G102" s="382"/>
      <c r="H102" s="381"/>
      <c r="I102" s="380"/>
      <c r="J102" s="382"/>
      <c r="K102" s="381"/>
      <c r="L102" s="380"/>
      <c r="M102" s="382"/>
      <c r="N102" s="381"/>
      <c r="O102" s="380"/>
      <c r="P102" s="382"/>
      <c r="Q102" s="381"/>
      <c r="R102" s="380"/>
      <c r="S102" s="382"/>
      <c r="T102" s="381"/>
    </row>
    <row r="103" spans="1:21" ht="17.25" customHeight="1" x14ac:dyDescent="0.25">
      <c r="A103" s="597" t="s">
        <v>91</v>
      </c>
      <c r="B103" s="598"/>
      <c r="C103" s="498"/>
      <c r="D103" s="499"/>
      <c r="E103" s="500"/>
      <c r="F103" s="380"/>
      <c r="G103" s="382"/>
      <c r="H103" s="381"/>
      <c r="I103" s="380"/>
      <c r="J103" s="382"/>
      <c r="K103" s="381"/>
      <c r="L103" s="380"/>
      <c r="M103" s="382"/>
      <c r="N103" s="381"/>
      <c r="O103" s="380"/>
      <c r="P103" s="382"/>
      <c r="Q103" s="381"/>
      <c r="R103" s="380"/>
      <c r="S103" s="382"/>
      <c r="T103" s="381"/>
    </row>
    <row r="104" spans="1:21" ht="17.25" customHeight="1" x14ac:dyDescent="0.25">
      <c r="A104" s="597" t="s">
        <v>92</v>
      </c>
      <c r="B104" s="598"/>
      <c r="C104" s="498"/>
      <c r="D104" s="499"/>
      <c r="E104" s="500"/>
      <c r="F104" s="380"/>
      <c r="G104" s="382"/>
      <c r="H104" s="381"/>
      <c r="I104" s="380"/>
      <c r="J104" s="382"/>
      <c r="K104" s="381"/>
      <c r="L104" s="380"/>
      <c r="M104" s="382"/>
      <c r="N104" s="381"/>
      <c r="O104" s="380"/>
      <c r="P104" s="382"/>
      <c r="Q104" s="381"/>
      <c r="R104" s="380"/>
      <c r="S104" s="382"/>
      <c r="T104" s="381"/>
    </row>
    <row r="105" spans="1:21" ht="16.5" customHeight="1" x14ac:dyDescent="0.2">
      <c r="A105" s="597" t="s">
        <v>93</v>
      </c>
      <c r="B105" s="598"/>
      <c r="C105" s="495">
        <v>1</v>
      </c>
      <c r="D105" s="496"/>
      <c r="E105" s="497"/>
      <c r="F105" s="495"/>
      <c r="G105" s="496"/>
      <c r="H105" s="497"/>
      <c r="I105" s="495"/>
      <c r="J105" s="496"/>
      <c r="K105" s="497"/>
      <c r="L105" s="495"/>
      <c r="M105" s="496"/>
      <c r="N105" s="497"/>
      <c r="O105" s="495"/>
      <c r="P105" s="496"/>
      <c r="Q105" s="497"/>
      <c r="R105" s="495"/>
      <c r="S105" s="496"/>
      <c r="T105" s="497"/>
    </row>
    <row r="106" spans="1:21" ht="16.5" customHeight="1" x14ac:dyDescent="0.2">
      <c r="A106" s="597" t="s">
        <v>94</v>
      </c>
      <c r="B106" s="598"/>
      <c r="C106" s="495">
        <v>1</v>
      </c>
      <c r="D106" s="496"/>
      <c r="E106" s="497"/>
      <c r="F106" s="495"/>
      <c r="G106" s="496"/>
      <c r="H106" s="497"/>
      <c r="I106" s="495"/>
      <c r="J106" s="496"/>
      <c r="K106" s="497"/>
      <c r="L106" s="495"/>
      <c r="M106" s="496"/>
      <c r="N106" s="497"/>
      <c r="O106" s="514"/>
      <c r="P106" s="515"/>
      <c r="Q106" s="516"/>
      <c r="R106" s="514"/>
      <c r="S106" s="515"/>
      <c r="T106" s="516"/>
    </row>
    <row r="107" spans="1:21" ht="16.5" customHeight="1" x14ac:dyDescent="0.25">
      <c r="A107" s="597" t="s">
        <v>95</v>
      </c>
      <c r="B107" s="598"/>
      <c r="C107" s="498"/>
      <c r="D107" s="499"/>
      <c r="E107" s="500"/>
      <c r="F107" s="495"/>
      <c r="G107" s="496"/>
      <c r="H107" s="497"/>
      <c r="I107" s="495"/>
      <c r="J107" s="496"/>
      <c r="K107" s="497"/>
      <c r="L107" s="495"/>
      <c r="M107" s="496"/>
      <c r="N107" s="497"/>
      <c r="O107" s="495"/>
      <c r="P107" s="496"/>
      <c r="Q107" s="497"/>
      <c r="R107" s="495"/>
      <c r="S107" s="496"/>
      <c r="T107" s="497"/>
    </row>
    <row r="108" spans="1:21" ht="16.5" customHeight="1" x14ac:dyDescent="0.25">
      <c r="A108" s="597" t="s">
        <v>96</v>
      </c>
      <c r="B108" s="598"/>
      <c r="C108" s="498"/>
      <c r="D108" s="499"/>
      <c r="E108" s="500"/>
      <c r="F108" s="383"/>
      <c r="G108" s="384"/>
      <c r="H108" s="385"/>
      <c r="I108" s="383"/>
      <c r="J108" s="384"/>
      <c r="K108" s="385"/>
      <c r="L108" s="383"/>
      <c r="M108" s="384"/>
      <c r="N108" s="385"/>
      <c r="O108" s="383"/>
      <c r="P108" s="384"/>
      <c r="Q108" s="385"/>
      <c r="R108" s="383"/>
      <c r="S108" s="384"/>
      <c r="T108" s="385"/>
    </row>
    <row r="109" spans="1:21" ht="16.5" customHeight="1" x14ac:dyDescent="0.25">
      <c r="A109" s="597" t="s">
        <v>97</v>
      </c>
      <c r="B109" s="598"/>
      <c r="C109" s="498"/>
      <c r="D109" s="499"/>
      <c r="E109" s="500"/>
      <c r="F109" s="514"/>
      <c r="G109" s="515"/>
      <c r="H109" s="516"/>
      <c r="I109" s="514"/>
      <c r="J109" s="515"/>
      <c r="K109" s="516"/>
      <c r="L109" s="514"/>
      <c r="M109" s="515"/>
      <c r="N109" s="516"/>
      <c r="O109" s="514"/>
      <c r="P109" s="515"/>
      <c r="Q109" s="516"/>
      <c r="R109" s="514"/>
      <c r="S109" s="515"/>
      <c r="T109" s="516"/>
    </row>
    <row r="110" spans="1:21" ht="16.5" customHeight="1" x14ac:dyDescent="0.25">
      <c r="A110" s="597" t="s">
        <v>98</v>
      </c>
      <c r="B110" s="598"/>
      <c r="C110" s="498"/>
      <c r="D110" s="499"/>
      <c r="E110" s="500"/>
      <c r="F110" s="495"/>
      <c r="G110" s="496"/>
      <c r="H110" s="497"/>
      <c r="I110" s="495"/>
      <c r="J110" s="496"/>
      <c r="K110" s="497"/>
      <c r="L110" s="495"/>
      <c r="M110" s="496"/>
      <c r="N110" s="497"/>
      <c r="O110" s="495"/>
      <c r="P110" s="496"/>
      <c r="Q110" s="497"/>
      <c r="R110" s="495"/>
      <c r="S110" s="496"/>
      <c r="T110" s="497"/>
    </row>
    <row r="111" spans="1:21" ht="16.5" customHeight="1" x14ac:dyDescent="0.25">
      <c r="A111" s="597" t="s">
        <v>99</v>
      </c>
      <c r="B111" s="598"/>
      <c r="C111" s="520"/>
      <c r="D111" s="499"/>
      <c r="E111" s="500"/>
      <c r="F111" s="520"/>
      <c r="G111" s="499"/>
      <c r="H111" s="500"/>
      <c r="I111" s="520"/>
      <c r="J111" s="499"/>
      <c r="K111" s="500"/>
      <c r="L111" s="520"/>
      <c r="M111" s="499"/>
      <c r="N111" s="500"/>
      <c r="O111" s="520"/>
      <c r="P111" s="499"/>
      <c r="Q111" s="500"/>
      <c r="R111" s="520"/>
      <c r="S111" s="499"/>
      <c r="T111" s="500"/>
    </row>
    <row r="112" spans="1:21" ht="34.5" customHeight="1" x14ac:dyDescent="0.25">
      <c r="A112" s="599" t="s">
        <v>100</v>
      </c>
      <c r="B112" s="553"/>
      <c r="C112" s="498"/>
      <c r="D112" s="499"/>
      <c r="E112" s="500"/>
      <c r="F112" s="517"/>
      <c r="G112" s="518"/>
      <c r="H112" s="519"/>
      <c r="I112" s="517"/>
      <c r="J112" s="518"/>
      <c r="K112" s="519"/>
      <c r="L112" s="517"/>
      <c r="M112" s="518"/>
      <c r="N112" s="519"/>
      <c r="O112" s="517"/>
      <c r="P112" s="518"/>
      <c r="Q112" s="519"/>
      <c r="R112" s="517"/>
      <c r="S112" s="518"/>
      <c r="T112" s="519"/>
    </row>
    <row r="113" spans="1:21" ht="27.4" customHeight="1" x14ac:dyDescent="0.25">
      <c r="A113" s="599" t="s">
        <v>101</v>
      </c>
      <c r="B113" s="553"/>
      <c r="C113" s="498"/>
      <c r="D113" s="499"/>
      <c r="E113" s="500"/>
      <c r="F113" s="383"/>
      <c r="G113" s="384"/>
      <c r="H113" s="385"/>
      <c r="I113" s="383"/>
      <c r="J113" s="384"/>
      <c r="K113" s="385"/>
      <c r="L113" s="383"/>
      <c r="M113" s="384"/>
      <c r="N113" s="385"/>
      <c r="O113" s="383"/>
      <c r="P113" s="384"/>
      <c r="Q113" s="385"/>
      <c r="R113" s="383"/>
      <c r="S113" s="384"/>
      <c r="T113" s="385"/>
    </row>
    <row r="114" spans="1:21" ht="16.5" customHeight="1" x14ac:dyDescent="0.25">
      <c r="A114" s="597" t="s">
        <v>102</v>
      </c>
      <c r="B114" s="598"/>
      <c r="C114" s="498"/>
      <c r="D114" s="499"/>
      <c r="E114" s="500"/>
      <c r="F114" s="514"/>
      <c r="G114" s="515"/>
      <c r="H114" s="516"/>
      <c r="I114" s="514"/>
      <c r="J114" s="515"/>
      <c r="K114" s="516"/>
      <c r="L114" s="514"/>
      <c r="M114" s="515"/>
      <c r="N114" s="516"/>
      <c r="O114" s="514"/>
      <c r="P114" s="515"/>
      <c r="Q114" s="516"/>
      <c r="R114" s="514"/>
      <c r="S114" s="515"/>
      <c r="T114" s="516"/>
    </row>
    <row r="115" spans="1:21" ht="27.4" customHeight="1" x14ac:dyDescent="0.25">
      <c r="A115" s="599" t="s">
        <v>103</v>
      </c>
      <c r="B115" s="553"/>
      <c r="C115" s="498"/>
      <c r="D115" s="499"/>
      <c r="E115" s="500"/>
      <c r="F115" s="495"/>
      <c r="G115" s="496"/>
      <c r="H115" s="497"/>
      <c r="I115" s="495"/>
      <c r="J115" s="496"/>
      <c r="K115" s="497"/>
      <c r="L115" s="495"/>
      <c r="M115" s="496"/>
      <c r="N115" s="497"/>
      <c r="O115" s="495"/>
      <c r="P115" s="496"/>
      <c r="Q115" s="497"/>
      <c r="R115" s="495"/>
      <c r="S115" s="496"/>
      <c r="T115" s="497"/>
    </row>
    <row r="117" spans="1:21" x14ac:dyDescent="0.2">
      <c r="A117" s="323" t="s">
        <v>104</v>
      </c>
      <c r="B117" s="324"/>
      <c r="C117" s="501"/>
      <c r="D117" s="502"/>
      <c r="E117" s="503"/>
      <c r="F117" s="501"/>
      <c r="G117" s="502"/>
      <c r="H117" s="503"/>
      <c r="I117" s="501"/>
      <c r="J117" s="502"/>
      <c r="K117" s="503"/>
      <c r="L117" s="501" t="s">
        <v>81</v>
      </c>
      <c r="M117" s="502"/>
      <c r="N117" s="503"/>
      <c r="O117" s="501" t="s">
        <v>82</v>
      </c>
      <c r="P117" s="502"/>
      <c r="Q117" s="503"/>
      <c r="R117" s="501" t="s">
        <v>83</v>
      </c>
      <c r="S117" s="502"/>
      <c r="T117" s="503"/>
    </row>
    <row r="118" spans="1:21" ht="15" x14ac:dyDescent="0.25">
      <c r="A118" s="315" t="s">
        <v>105</v>
      </c>
      <c r="B118" s="316"/>
      <c r="C118" s="531">
        <v>100000</v>
      </c>
      <c r="D118" s="532"/>
      <c r="E118" s="533"/>
      <c r="F118" s="531"/>
      <c r="G118" s="532"/>
      <c r="H118" s="533"/>
      <c r="I118" s="531"/>
      <c r="J118" s="532"/>
      <c r="K118" s="533"/>
      <c r="L118" s="531"/>
      <c r="M118" s="532"/>
      <c r="N118" s="533"/>
      <c r="O118" s="531"/>
      <c r="P118" s="532"/>
      <c r="Q118" s="533"/>
      <c r="R118" s="531"/>
      <c r="S118" s="532"/>
      <c r="T118" s="533"/>
    </row>
    <row r="119" spans="1:21" ht="15" x14ac:dyDescent="0.25">
      <c r="A119" s="315" t="s">
        <v>106</v>
      </c>
      <c r="B119" s="316"/>
      <c r="C119" s="528">
        <v>25000</v>
      </c>
      <c r="D119" s="529"/>
      <c r="E119" s="530"/>
      <c r="F119" s="528"/>
      <c r="G119" s="529"/>
      <c r="H119" s="530"/>
      <c r="I119" s="528"/>
      <c r="J119" s="529"/>
      <c r="K119" s="530"/>
      <c r="L119" s="528"/>
      <c r="M119" s="529"/>
      <c r="N119" s="530"/>
      <c r="O119" s="528"/>
      <c r="P119" s="529"/>
      <c r="Q119" s="530"/>
      <c r="R119" s="528"/>
      <c r="S119" s="529"/>
      <c r="T119" s="530"/>
      <c r="U119" s="42"/>
    </row>
    <row r="120" spans="1:21" ht="15" x14ac:dyDescent="0.25">
      <c r="A120" s="321" t="s">
        <v>107</v>
      </c>
      <c r="B120" s="322"/>
      <c r="C120" s="525">
        <v>300</v>
      </c>
      <c r="D120" s="526"/>
      <c r="E120" s="527"/>
      <c r="F120" s="525"/>
      <c r="G120" s="526"/>
      <c r="H120" s="527"/>
      <c r="I120" s="525"/>
      <c r="J120" s="526"/>
      <c r="K120" s="527"/>
      <c r="L120" s="525"/>
      <c r="M120" s="526"/>
      <c r="N120" s="527"/>
      <c r="O120" s="525"/>
      <c r="P120" s="526"/>
      <c r="Q120" s="527"/>
      <c r="R120" s="525"/>
      <c r="S120" s="526"/>
      <c r="T120" s="527"/>
      <c r="U120" s="42"/>
    </row>
    <row r="121" spans="1:21" ht="15" x14ac:dyDescent="0.25">
      <c r="A121" s="319"/>
      <c r="B121" s="320"/>
      <c r="C121" s="498"/>
      <c r="D121" s="499"/>
      <c r="E121" s="500"/>
      <c r="F121" s="498"/>
      <c r="G121" s="499"/>
      <c r="H121" s="500"/>
      <c r="I121" s="498"/>
      <c r="J121" s="499"/>
      <c r="K121" s="500"/>
      <c r="L121" s="498"/>
      <c r="M121" s="499"/>
      <c r="N121" s="500"/>
      <c r="O121" s="498"/>
      <c r="P121" s="499"/>
      <c r="Q121" s="500"/>
      <c r="R121" s="498"/>
      <c r="S121" s="499"/>
      <c r="T121" s="500"/>
    </row>
    <row r="122" spans="1:21" ht="15" x14ac:dyDescent="0.25">
      <c r="A122" s="317" t="s">
        <v>108</v>
      </c>
      <c r="B122" s="318"/>
      <c r="C122" s="504"/>
      <c r="D122" s="505"/>
      <c r="E122" s="506"/>
      <c r="F122" s="504"/>
      <c r="G122" s="505"/>
      <c r="H122" s="506"/>
      <c r="I122" s="504"/>
      <c r="J122" s="505"/>
      <c r="K122" s="506"/>
      <c r="L122" s="504"/>
      <c r="M122" s="505"/>
      <c r="N122" s="506"/>
      <c r="O122" s="504"/>
      <c r="P122" s="505"/>
      <c r="Q122" s="506"/>
      <c r="R122" s="504"/>
      <c r="S122" s="505"/>
      <c r="T122" s="506"/>
    </row>
    <row r="123" spans="1:21" ht="15" x14ac:dyDescent="0.25">
      <c r="A123" s="317" t="s">
        <v>109</v>
      </c>
      <c r="B123" s="318"/>
      <c r="C123" s="504"/>
      <c r="D123" s="505"/>
      <c r="E123" s="506"/>
      <c r="F123" s="504"/>
      <c r="G123" s="505"/>
      <c r="H123" s="506"/>
      <c r="I123" s="504"/>
      <c r="J123" s="505"/>
      <c r="K123" s="506"/>
      <c r="L123" s="504"/>
      <c r="M123" s="505"/>
      <c r="N123" s="506"/>
      <c r="O123" s="504"/>
      <c r="P123" s="505"/>
      <c r="Q123" s="506"/>
      <c r="R123" s="504"/>
      <c r="S123" s="505"/>
      <c r="T123" s="506"/>
    </row>
    <row r="124" spans="1:21" ht="15" x14ac:dyDescent="0.25">
      <c r="A124" s="317" t="s">
        <v>110</v>
      </c>
      <c r="B124" s="318"/>
      <c r="C124" s="504"/>
      <c r="D124" s="505"/>
      <c r="E124" s="506"/>
      <c r="F124" s="504"/>
      <c r="G124" s="505"/>
      <c r="H124" s="506"/>
      <c r="I124" s="504"/>
      <c r="J124" s="505"/>
      <c r="K124" s="506"/>
      <c r="L124" s="504"/>
      <c r="M124" s="505"/>
      <c r="N124" s="506"/>
      <c r="O124" s="504"/>
      <c r="P124" s="505"/>
      <c r="Q124" s="506"/>
      <c r="R124" s="504"/>
      <c r="S124" s="505"/>
      <c r="T124" s="506"/>
    </row>
    <row r="125" spans="1:21" ht="15" x14ac:dyDescent="0.25">
      <c r="A125" s="315" t="s">
        <v>984</v>
      </c>
      <c r="B125" s="316"/>
      <c r="C125" s="504"/>
      <c r="D125" s="505"/>
      <c r="E125" s="506"/>
      <c r="F125" s="504"/>
      <c r="G125" s="505"/>
      <c r="H125" s="506"/>
      <c r="I125" s="504"/>
      <c r="J125" s="505"/>
      <c r="K125" s="506"/>
      <c r="L125" s="504"/>
      <c r="M125" s="505"/>
      <c r="N125" s="506"/>
      <c r="O125" s="504"/>
      <c r="P125" s="505"/>
      <c r="Q125" s="506"/>
      <c r="R125" s="504"/>
      <c r="S125" s="505"/>
      <c r="T125" s="506"/>
    </row>
    <row r="126" spans="1:21" ht="15" x14ac:dyDescent="0.25">
      <c r="A126" s="315" t="s">
        <v>985</v>
      </c>
      <c r="B126" s="316"/>
      <c r="C126" s="504"/>
      <c r="D126" s="505"/>
      <c r="E126" s="506"/>
      <c r="F126" s="504"/>
      <c r="G126" s="505"/>
      <c r="H126" s="506"/>
      <c r="I126" s="504"/>
      <c r="J126" s="505"/>
      <c r="K126" s="506"/>
      <c r="L126" s="504"/>
      <c r="M126" s="505"/>
      <c r="N126" s="506"/>
      <c r="O126" s="504"/>
      <c r="P126" s="505"/>
      <c r="Q126" s="506"/>
      <c r="R126" s="504"/>
      <c r="S126" s="505"/>
      <c r="T126" s="506"/>
    </row>
    <row r="127" spans="1:21" ht="15" x14ac:dyDescent="0.25">
      <c r="A127" s="315" t="s">
        <v>986</v>
      </c>
      <c r="B127" s="316"/>
      <c r="C127" s="504"/>
      <c r="D127" s="505"/>
      <c r="E127" s="506"/>
      <c r="F127" s="504"/>
      <c r="G127" s="505"/>
      <c r="H127" s="506"/>
      <c r="I127" s="504"/>
      <c r="J127" s="505"/>
      <c r="K127" s="506"/>
      <c r="L127" s="504"/>
      <c r="M127" s="505"/>
      <c r="N127" s="506"/>
      <c r="O127" s="504"/>
      <c r="P127" s="505"/>
      <c r="Q127" s="506"/>
      <c r="R127" s="504"/>
      <c r="S127" s="505"/>
      <c r="T127" s="506"/>
    </row>
    <row r="128" spans="1:21" ht="15" x14ac:dyDescent="0.25">
      <c r="A128" s="315" t="s">
        <v>987</v>
      </c>
      <c r="B128" s="316"/>
      <c r="C128" s="504"/>
      <c r="D128" s="505"/>
      <c r="E128" s="506"/>
      <c r="F128" s="504"/>
      <c r="G128" s="505"/>
      <c r="H128" s="506"/>
      <c r="I128" s="504"/>
      <c r="J128" s="505"/>
      <c r="K128" s="506"/>
      <c r="L128" s="504"/>
      <c r="M128" s="505"/>
      <c r="N128" s="506"/>
      <c r="O128" s="504"/>
      <c r="P128" s="505"/>
      <c r="Q128" s="506"/>
      <c r="R128" s="504"/>
      <c r="S128" s="505"/>
      <c r="T128" s="506"/>
    </row>
    <row r="129" spans="1:20" ht="15" x14ac:dyDescent="0.25">
      <c r="A129" s="315" t="s">
        <v>111</v>
      </c>
      <c r="B129" s="316"/>
      <c r="C129" s="504"/>
      <c r="D129" s="505"/>
      <c r="E129" s="506"/>
      <c r="F129" s="504"/>
      <c r="G129" s="505"/>
      <c r="H129" s="506"/>
      <c r="I129" s="504"/>
      <c r="J129" s="505"/>
      <c r="K129" s="506"/>
      <c r="L129" s="504"/>
      <c r="M129" s="505"/>
      <c r="N129" s="506"/>
      <c r="O129" s="504"/>
      <c r="P129" s="505"/>
      <c r="Q129" s="506"/>
      <c r="R129" s="504"/>
      <c r="S129" s="505"/>
      <c r="T129" s="506"/>
    </row>
    <row r="130" spans="1:20" ht="15" x14ac:dyDescent="0.25">
      <c r="A130" s="317" t="s">
        <v>112</v>
      </c>
      <c r="B130" s="318"/>
      <c r="C130" s="504"/>
      <c r="D130" s="505"/>
      <c r="E130" s="506"/>
      <c r="F130" s="504"/>
      <c r="G130" s="505"/>
      <c r="H130" s="506"/>
      <c r="I130" s="504"/>
      <c r="J130" s="505"/>
      <c r="K130" s="506"/>
      <c r="L130" s="504"/>
      <c r="M130" s="505"/>
      <c r="N130" s="506"/>
      <c r="O130" s="504"/>
      <c r="P130" s="505"/>
      <c r="Q130" s="506"/>
      <c r="R130" s="504"/>
      <c r="S130" s="505"/>
      <c r="T130" s="506"/>
    </row>
    <row r="131" spans="1:20" ht="15" x14ac:dyDescent="0.25">
      <c r="A131" s="317" t="s">
        <v>113</v>
      </c>
      <c r="B131" s="318"/>
      <c r="C131" s="504"/>
      <c r="D131" s="505"/>
      <c r="E131" s="506"/>
      <c r="F131" s="504"/>
      <c r="G131" s="505"/>
      <c r="H131" s="506"/>
      <c r="I131" s="504"/>
      <c r="J131" s="505"/>
      <c r="K131" s="506"/>
      <c r="L131" s="504"/>
      <c r="M131" s="505"/>
      <c r="N131" s="506"/>
      <c r="O131" s="504"/>
      <c r="P131" s="505"/>
      <c r="Q131" s="506"/>
      <c r="R131" s="504"/>
      <c r="S131" s="505"/>
      <c r="T131" s="506"/>
    </row>
    <row r="132" spans="1:20" ht="15" x14ac:dyDescent="0.25">
      <c r="A132" s="315" t="s">
        <v>114</v>
      </c>
      <c r="B132" s="316"/>
      <c r="C132" s="504">
        <v>1</v>
      </c>
      <c r="D132" s="505"/>
      <c r="E132" s="506"/>
      <c r="F132" s="504"/>
      <c r="G132" s="505"/>
      <c r="H132" s="506"/>
      <c r="I132" s="504"/>
      <c r="J132" s="505"/>
      <c r="K132" s="506"/>
      <c r="L132" s="504"/>
      <c r="M132" s="505"/>
      <c r="N132" s="506"/>
      <c r="O132" s="504"/>
      <c r="P132" s="505"/>
      <c r="Q132" s="506"/>
      <c r="R132" s="504"/>
      <c r="S132" s="505"/>
      <c r="T132" s="506"/>
    </row>
    <row r="133" spans="1:20" ht="15" x14ac:dyDescent="0.25">
      <c r="A133" s="317" t="s">
        <v>115</v>
      </c>
      <c r="B133" s="318"/>
      <c r="C133" s="504"/>
      <c r="D133" s="505"/>
      <c r="E133" s="506"/>
      <c r="F133" s="504"/>
      <c r="G133" s="505"/>
      <c r="H133" s="506"/>
      <c r="I133" s="504"/>
      <c r="J133" s="505"/>
      <c r="K133" s="506"/>
      <c r="L133" s="504"/>
      <c r="M133" s="505"/>
      <c r="N133" s="506"/>
      <c r="O133" s="504"/>
      <c r="P133" s="505"/>
      <c r="Q133" s="506"/>
      <c r="R133" s="504"/>
      <c r="S133" s="505"/>
      <c r="T133" s="506"/>
    </row>
    <row r="134" spans="1:20" ht="15" x14ac:dyDescent="0.25">
      <c r="A134" s="315" t="s">
        <v>116</v>
      </c>
      <c r="B134" s="316"/>
      <c r="C134" s="504"/>
      <c r="D134" s="505"/>
      <c r="E134" s="506"/>
      <c r="F134" s="504"/>
      <c r="G134" s="505"/>
      <c r="H134" s="506"/>
      <c r="I134" s="504"/>
      <c r="J134" s="505"/>
      <c r="K134" s="506"/>
      <c r="L134" s="504"/>
      <c r="M134" s="505"/>
      <c r="N134" s="506"/>
      <c r="O134" s="504"/>
      <c r="P134" s="505"/>
      <c r="Q134" s="506"/>
      <c r="R134" s="504"/>
      <c r="S134" s="505"/>
      <c r="T134" s="506"/>
    </row>
    <row r="135" spans="1:20" ht="15" x14ac:dyDescent="0.25">
      <c r="A135" s="317" t="s">
        <v>117</v>
      </c>
      <c r="B135" s="318"/>
      <c r="C135" s="504"/>
      <c r="D135" s="505"/>
      <c r="E135" s="506"/>
      <c r="F135" s="504"/>
      <c r="G135" s="505"/>
      <c r="H135" s="506"/>
      <c r="I135" s="504"/>
      <c r="J135" s="505"/>
      <c r="K135" s="506"/>
      <c r="L135" s="504"/>
      <c r="M135" s="505"/>
      <c r="N135" s="506"/>
      <c r="O135" s="504"/>
      <c r="P135" s="505"/>
      <c r="Q135" s="506"/>
      <c r="R135" s="504"/>
      <c r="S135" s="505"/>
      <c r="T135" s="506"/>
    </row>
    <row r="136" spans="1:20" ht="15" x14ac:dyDescent="0.25">
      <c r="A136" s="315" t="s">
        <v>118</v>
      </c>
      <c r="B136" s="316"/>
      <c r="C136" s="504"/>
      <c r="D136" s="505"/>
      <c r="E136" s="506"/>
      <c r="F136" s="504"/>
      <c r="G136" s="505"/>
      <c r="H136" s="506"/>
      <c r="I136" s="504"/>
      <c r="J136" s="505"/>
      <c r="K136" s="506"/>
      <c r="L136" s="504"/>
      <c r="M136" s="505"/>
      <c r="N136" s="506"/>
      <c r="O136" s="504"/>
      <c r="P136" s="505"/>
      <c r="Q136" s="506"/>
      <c r="R136" s="504"/>
      <c r="S136" s="505"/>
      <c r="T136" s="506"/>
    </row>
    <row r="137" spans="1:20" ht="15" x14ac:dyDescent="0.25">
      <c r="A137" s="315" t="s">
        <v>119</v>
      </c>
      <c r="B137" s="316"/>
      <c r="C137" s="504"/>
      <c r="D137" s="505"/>
      <c r="E137" s="506"/>
      <c r="F137" s="504"/>
      <c r="G137" s="505"/>
      <c r="H137" s="506"/>
      <c r="I137" s="504"/>
      <c r="J137" s="505"/>
      <c r="K137" s="506"/>
      <c r="L137" s="504"/>
      <c r="M137" s="505"/>
      <c r="N137" s="506"/>
      <c r="O137" s="504"/>
      <c r="P137" s="505"/>
      <c r="Q137" s="506"/>
      <c r="R137" s="504"/>
      <c r="S137" s="505"/>
      <c r="T137" s="506"/>
    </row>
    <row r="138" spans="1:20" x14ac:dyDescent="0.2">
      <c r="A138" s="313" t="s">
        <v>120</v>
      </c>
      <c r="B138" s="314"/>
      <c r="C138" s="592">
        <v>1</v>
      </c>
      <c r="D138" s="593"/>
      <c r="E138" s="594"/>
      <c r="F138" s="592"/>
      <c r="G138" s="593"/>
      <c r="H138" s="594"/>
      <c r="I138" s="592"/>
      <c r="J138" s="593"/>
      <c r="K138" s="594"/>
      <c r="L138" s="592"/>
      <c r="M138" s="593"/>
      <c r="N138" s="594"/>
      <c r="O138" s="592"/>
      <c r="P138" s="593"/>
      <c r="Q138" s="594"/>
      <c r="R138" s="592"/>
      <c r="S138" s="593"/>
      <c r="T138" s="594"/>
    </row>
    <row r="140" spans="1:20" ht="15.75" x14ac:dyDescent="0.25">
      <c r="A140" s="1" t="s">
        <v>121</v>
      </c>
      <c r="D140" s="12"/>
      <c r="E140" s="12"/>
      <c r="F140" s="43"/>
      <c r="G140" s="43"/>
      <c r="H140" s="43"/>
      <c r="I140" s="3" t="str">
        <f>IF(O142=100%," ","TOTAL PERCENTAGES  MUST EQUAL 100%!")</f>
        <v xml:space="preserve"> </v>
      </c>
      <c r="J140" s="3"/>
      <c r="K140" s="3"/>
      <c r="L140" s="3"/>
      <c r="M140" s="3"/>
      <c r="N140" s="3"/>
      <c r="O140" s="3"/>
      <c r="P140" s="44"/>
      <c r="Q140" s="44"/>
      <c r="R140" s="44"/>
      <c r="S140" s="44"/>
    </row>
    <row r="141" spans="1:20" ht="15.75" x14ac:dyDescent="0.25">
      <c r="A141" s="1"/>
      <c r="D141" s="12"/>
      <c r="E141" s="12"/>
      <c r="F141" s="43"/>
      <c r="G141" s="43"/>
      <c r="H141" s="43"/>
      <c r="I141" s="3"/>
      <c r="J141" s="3"/>
      <c r="K141" s="3"/>
      <c r="L141" s="3"/>
      <c r="M141" s="3"/>
      <c r="N141" s="3"/>
      <c r="O141" s="3"/>
      <c r="P141" s="44"/>
      <c r="Q141" s="44"/>
      <c r="R141" s="44"/>
      <c r="S141" s="44"/>
    </row>
    <row r="142" spans="1:20" x14ac:dyDescent="0.2">
      <c r="A142" s="312" t="s">
        <v>122</v>
      </c>
      <c r="B142" s="312"/>
      <c r="C142" s="312"/>
      <c r="L142" s="45" t="s">
        <v>123</v>
      </c>
      <c r="M142" s="45"/>
      <c r="N142" s="45"/>
      <c r="O142" s="17">
        <f>SUM(O143:O148,I143:I150,D143:D150)</f>
        <v>1</v>
      </c>
    </row>
    <row r="143" spans="1:20" x14ac:dyDescent="0.2">
      <c r="A143" s="307" t="s">
        <v>124</v>
      </c>
      <c r="B143" s="308"/>
      <c r="C143" s="309"/>
      <c r="D143" s="493"/>
      <c r="E143" s="494"/>
      <c r="F143" s="307" t="s">
        <v>125</v>
      </c>
      <c r="G143" s="309"/>
      <c r="H143" s="309"/>
      <c r="I143" s="46"/>
      <c r="J143" s="307" t="s">
        <v>126</v>
      </c>
      <c r="K143" s="308"/>
      <c r="L143" s="309"/>
      <c r="M143" s="308"/>
      <c r="N143" s="308"/>
      <c r="O143" s="610">
        <v>0.25</v>
      </c>
      <c r="P143" s="610"/>
      <c r="Q143" s="16"/>
      <c r="R143" s="47"/>
      <c r="S143" s="12"/>
    </row>
    <row r="144" spans="1:20" x14ac:dyDescent="0.2">
      <c r="A144" s="307" t="s">
        <v>127</v>
      </c>
      <c r="B144" s="308"/>
      <c r="C144" s="309"/>
      <c r="D144" s="48"/>
      <c r="E144" s="349"/>
      <c r="F144" s="307" t="s">
        <v>128</v>
      </c>
      <c r="G144" s="309"/>
      <c r="H144" s="309"/>
      <c r="I144" s="46"/>
      <c r="J144" s="307" t="s">
        <v>129</v>
      </c>
      <c r="K144" s="308"/>
      <c r="L144" s="309"/>
      <c r="M144" s="308"/>
      <c r="N144" s="308"/>
      <c r="O144" s="675">
        <v>0.25</v>
      </c>
      <c r="P144" s="676"/>
      <c r="Q144" s="16"/>
      <c r="R144" s="47"/>
    </row>
    <row r="145" spans="1:18" x14ac:dyDescent="0.2">
      <c r="A145" s="307" t="s">
        <v>130</v>
      </c>
      <c r="B145" s="308"/>
      <c r="C145" s="309"/>
      <c r="D145" s="48"/>
      <c r="E145" s="349"/>
      <c r="F145" s="307" t="s">
        <v>131</v>
      </c>
      <c r="G145" s="309"/>
      <c r="H145" s="309"/>
      <c r="I145" s="46"/>
      <c r="J145" s="307" t="s">
        <v>132</v>
      </c>
      <c r="K145" s="308"/>
      <c r="L145" s="309"/>
      <c r="M145" s="308"/>
      <c r="N145" s="308"/>
      <c r="O145" s="610">
        <v>0.25</v>
      </c>
      <c r="P145" s="610"/>
      <c r="Q145" s="16"/>
      <c r="R145" s="47"/>
    </row>
    <row r="146" spans="1:18" x14ac:dyDescent="0.2">
      <c r="A146" s="307" t="s">
        <v>133</v>
      </c>
      <c r="B146" s="308"/>
      <c r="C146" s="309"/>
      <c r="D146" s="46"/>
      <c r="E146" s="346"/>
      <c r="F146" s="307" t="s">
        <v>134</v>
      </c>
      <c r="G146" s="309"/>
      <c r="H146" s="309"/>
      <c r="I146" s="46"/>
      <c r="J146" s="307" t="s">
        <v>135</v>
      </c>
      <c r="K146" s="308"/>
      <c r="L146" s="309"/>
      <c r="M146" s="308"/>
      <c r="N146" s="308"/>
      <c r="O146" s="493">
        <v>0.25</v>
      </c>
      <c r="P146" s="494"/>
      <c r="Q146" s="16"/>
      <c r="R146" s="47"/>
    </row>
    <row r="147" spans="1:18" x14ac:dyDescent="0.2">
      <c r="A147" s="307" t="s">
        <v>136</v>
      </c>
      <c r="B147" s="308"/>
      <c r="C147" s="309"/>
      <c r="D147" s="48"/>
      <c r="E147" s="349"/>
      <c r="F147" s="307" t="s">
        <v>137</v>
      </c>
      <c r="G147" s="309"/>
      <c r="H147" s="309"/>
      <c r="I147" s="46"/>
      <c r="J147" s="307" t="s">
        <v>138</v>
      </c>
      <c r="K147" s="308"/>
      <c r="L147" s="309"/>
      <c r="M147" s="308"/>
      <c r="N147" s="308"/>
      <c r="O147" s="493"/>
      <c r="P147" s="494"/>
      <c r="Q147" s="16"/>
      <c r="R147" s="47"/>
    </row>
    <row r="148" spans="1:18" x14ac:dyDescent="0.2">
      <c r="A148" s="307" t="s">
        <v>139</v>
      </c>
      <c r="B148" s="308"/>
      <c r="C148" s="309"/>
      <c r="D148" s="48"/>
      <c r="E148" s="349"/>
      <c r="F148" s="307" t="s">
        <v>140</v>
      </c>
      <c r="G148" s="309"/>
      <c r="H148" s="309"/>
      <c r="I148" s="46"/>
      <c r="J148" s="310" t="s">
        <v>141</v>
      </c>
      <c r="K148" s="361"/>
      <c r="L148" s="311"/>
      <c r="M148" s="361"/>
      <c r="N148" s="361"/>
      <c r="O148" s="493"/>
      <c r="P148" s="494"/>
      <c r="Q148" s="16"/>
      <c r="R148" s="11"/>
    </row>
    <row r="149" spans="1:18" x14ac:dyDescent="0.2">
      <c r="A149" s="307" t="s">
        <v>142</v>
      </c>
      <c r="B149" s="308"/>
      <c r="C149" s="309"/>
      <c r="D149" s="48"/>
      <c r="E149" s="349"/>
      <c r="F149" s="307" t="s">
        <v>143</v>
      </c>
      <c r="G149" s="309"/>
      <c r="H149" s="309"/>
      <c r="I149" s="46"/>
      <c r="J149" s="310" t="s">
        <v>559</v>
      </c>
      <c r="K149" s="361"/>
      <c r="L149" s="311"/>
      <c r="M149" s="361"/>
      <c r="N149" s="361"/>
      <c r="O149" s="493"/>
      <c r="P149" s="494"/>
      <c r="Q149" s="11"/>
      <c r="R149" s="11"/>
    </row>
    <row r="150" spans="1:18" x14ac:dyDescent="0.2">
      <c r="A150" s="307" t="s">
        <v>144</v>
      </c>
      <c r="B150" s="308"/>
      <c r="C150" s="309"/>
      <c r="D150" s="48"/>
      <c r="E150" s="349"/>
      <c r="F150" s="307" t="s">
        <v>145</v>
      </c>
      <c r="G150" s="309"/>
      <c r="H150" s="309"/>
      <c r="I150" s="46"/>
      <c r="J150" s="310" t="s">
        <v>560</v>
      </c>
      <c r="K150" s="361"/>
      <c r="L150" s="311"/>
      <c r="M150" s="361"/>
      <c r="N150" s="361"/>
      <c r="O150" s="493"/>
      <c r="P150" s="494"/>
      <c r="Q150" s="11"/>
      <c r="R150" s="11"/>
    </row>
    <row r="151" spans="1:18" x14ac:dyDescent="0.2">
      <c r="A151" s="49"/>
      <c r="D151" s="47"/>
      <c r="E151" s="47"/>
      <c r="F151" s="160"/>
      <c r="G151" s="160"/>
      <c r="H151" s="160"/>
      <c r="I151" s="50"/>
      <c r="J151" s="276"/>
      <c r="K151" s="12"/>
      <c r="O151" s="11"/>
      <c r="P151" s="11"/>
      <c r="Q151" s="11"/>
      <c r="R151" s="11"/>
    </row>
    <row r="152" spans="1:18" ht="12.75" customHeight="1" x14ac:dyDescent="0.2">
      <c r="A152" s="300" t="s">
        <v>146</v>
      </c>
      <c r="B152" s="301"/>
      <c r="C152" s="302"/>
      <c r="D152" s="619" t="s">
        <v>1407</v>
      </c>
      <c r="E152" s="620"/>
      <c r="F152" s="620"/>
      <c r="G152" s="620"/>
      <c r="H152" s="620"/>
      <c r="I152" s="621"/>
      <c r="J152" s="54"/>
      <c r="K152" s="54"/>
      <c r="L152" s="54"/>
      <c r="M152" s="51"/>
      <c r="N152" s="51"/>
      <c r="O152" s="394" t="s">
        <v>1153</v>
      </c>
      <c r="Q152" s="54"/>
      <c r="R152" s="52"/>
    </row>
    <row r="153" spans="1:18" ht="12.75" customHeight="1" x14ac:dyDescent="0.2">
      <c r="A153" s="303" t="s">
        <v>147</v>
      </c>
      <c r="B153" s="304"/>
      <c r="C153" s="305"/>
      <c r="D153" s="619" t="s">
        <v>1393</v>
      </c>
      <c r="E153" s="620"/>
      <c r="F153" s="620"/>
      <c r="G153" s="620"/>
      <c r="H153" s="620"/>
      <c r="I153" s="621"/>
      <c r="J153" s="54"/>
      <c r="K153" s="54"/>
      <c r="L153" s="54"/>
      <c r="M153" s="51"/>
      <c r="N153" s="51"/>
      <c r="O153" s="395" t="s">
        <v>177</v>
      </c>
      <c r="P153" s="396" t="s">
        <v>156</v>
      </c>
      <c r="Q153" s="54"/>
      <c r="R153" s="52"/>
    </row>
    <row r="154" spans="1:18" ht="15" x14ac:dyDescent="0.25">
      <c r="A154" s="53"/>
      <c r="B154" s="53"/>
      <c r="C154" s="53"/>
      <c r="D154" s="54"/>
      <c r="E154" s="54"/>
      <c r="F154" s="54"/>
      <c r="G154" s="54"/>
      <c r="H154" s="54"/>
      <c r="I154" s="54"/>
      <c r="J154" s="54"/>
      <c r="K154" s="54"/>
      <c r="L154" s="54"/>
      <c r="M154" s="54"/>
      <c r="N154" s="54"/>
      <c r="O154" s="397" t="s">
        <v>1154</v>
      </c>
      <c r="P154" s="398">
        <v>0.25</v>
      </c>
      <c r="Q154" s="54"/>
      <c r="R154" s="52"/>
    </row>
    <row r="155" spans="1:18" ht="15" x14ac:dyDescent="0.25">
      <c r="A155" s="55" t="s">
        <v>148</v>
      </c>
      <c r="B155" s="53"/>
      <c r="C155" s="56" t="s">
        <v>1385</v>
      </c>
      <c r="D155" s="54"/>
      <c r="E155" s="54"/>
      <c r="F155" s="54"/>
      <c r="G155" s="54"/>
      <c r="H155" s="54"/>
      <c r="I155" s="54"/>
      <c r="J155" s="54"/>
      <c r="K155" s="54"/>
      <c r="L155" s="54"/>
      <c r="M155" s="54"/>
      <c r="N155" s="54"/>
      <c r="O155" s="399" t="s">
        <v>1155</v>
      </c>
      <c r="P155" s="400">
        <v>0.25</v>
      </c>
      <c r="Q155" s="54"/>
      <c r="R155" s="52"/>
    </row>
    <row r="156" spans="1:18" ht="15" x14ac:dyDescent="0.25">
      <c r="A156" s="53"/>
      <c r="B156" s="53"/>
      <c r="C156" s="53"/>
      <c r="D156" s="54"/>
      <c r="E156" s="54"/>
      <c r="F156" s="54"/>
      <c r="G156" s="54"/>
      <c r="H156" s="54"/>
      <c r="I156" s="54"/>
      <c r="J156" s="54"/>
      <c r="K156" s="54"/>
      <c r="L156" s="54"/>
      <c r="M156" s="54"/>
      <c r="N156" s="54"/>
      <c r="O156" s="399" t="s">
        <v>1156</v>
      </c>
      <c r="P156" s="401">
        <v>0.25</v>
      </c>
      <c r="Q156" s="54"/>
      <c r="R156" s="52"/>
    </row>
    <row r="157" spans="1:18" ht="15" x14ac:dyDescent="0.25">
      <c r="A157" s="57" t="s">
        <v>149</v>
      </c>
      <c r="B157" s="12"/>
      <c r="C157" s="12"/>
      <c r="D157" s="12"/>
      <c r="E157" s="12"/>
      <c r="F157" s="12"/>
      <c r="G157" s="58"/>
      <c r="H157" s="58"/>
      <c r="I157" s="58"/>
      <c r="J157" s="58"/>
      <c r="K157" s="58"/>
      <c r="O157" s="399" t="s">
        <v>1157</v>
      </c>
      <c r="P157" s="401">
        <v>0.25</v>
      </c>
    </row>
    <row r="158" spans="1:18" ht="15" x14ac:dyDescent="0.25">
      <c r="A158" s="57"/>
      <c r="B158" s="12"/>
      <c r="C158" s="12"/>
      <c r="D158" s="12"/>
      <c r="E158" s="12"/>
      <c r="F158" s="12"/>
      <c r="G158" s="58"/>
      <c r="H158" s="58"/>
      <c r="I158" s="58"/>
      <c r="J158" s="58"/>
      <c r="K158" s="58"/>
      <c r="O158" s="399" t="s">
        <v>1158</v>
      </c>
      <c r="P158" s="401"/>
    </row>
    <row r="159" spans="1:18" ht="15" x14ac:dyDescent="0.25">
      <c r="A159" s="15" t="s">
        <v>150</v>
      </c>
      <c r="B159" s="3"/>
      <c r="C159" s="283" t="s">
        <v>13</v>
      </c>
      <c r="D159" s="12"/>
      <c r="E159" s="12"/>
      <c r="F159" s="12"/>
      <c r="G159" s="58"/>
      <c r="H159" s="58"/>
      <c r="I159" s="58"/>
      <c r="J159" s="58"/>
      <c r="K159" s="58"/>
      <c r="O159" s="399" t="s">
        <v>1159</v>
      </c>
      <c r="P159" s="401"/>
    </row>
    <row r="160" spans="1:18" ht="26.25" x14ac:dyDescent="0.25">
      <c r="A160" s="11" t="s">
        <v>151</v>
      </c>
      <c r="C160" s="283" t="s">
        <v>13</v>
      </c>
      <c r="F160" s="12" t="s">
        <v>152</v>
      </c>
      <c r="I160" s="59"/>
      <c r="O160" s="399" t="s">
        <v>1160</v>
      </c>
      <c r="P160" s="401"/>
    </row>
    <row r="161" spans="1:20" ht="39" x14ac:dyDescent="0.25">
      <c r="A161" s="60" t="s">
        <v>153</v>
      </c>
      <c r="C161" s="283" t="s">
        <v>13</v>
      </c>
      <c r="F161" s="12"/>
      <c r="O161" s="399" t="s">
        <v>184</v>
      </c>
      <c r="P161" s="401"/>
    </row>
    <row r="162" spans="1:20" ht="27" thickBot="1" x14ac:dyDescent="0.3">
      <c r="A162" s="7"/>
      <c r="B162" s="7"/>
      <c r="C162" s="7"/>
      <c r="D162" s="7"/>
      <c r="E162" s="7"/>
      <c r="F162" s="7"/>
      <c r="G162" s="7"/>
      <c r="H162" s="7"/>
      <c r="I162" s="7"/>
      <c r="J162" s="7"/>
      <c r="K162" s="7"/>
      <c r="L162" s="7"/>
      <c r="M162" s="7"/>
      <c r="N162" s="7"/>
      <c r="O162" s="402" t="s">
        <v>1161</v>
      </c>
      <c r="P162" s="403">
        <f>SUM(P154:P161)</f>
        <v>1</v>
      </c>
      <c r="Q162" s="7"/>
      <c r="R162" s="7"/>
      <c r="S162" s="7"/>
      <c r="T162" s="7"/>
    </row>
    <row r="164" spans="1:20" ht="15.75" x14ac:dyDescent="0.25">
      <c r="A164" s="306" t="s">
        <v>154</v>
      </c>
      <c r="B164" s="306"/>
      <c r="C164" s="306"/>
      <c r="L164" s="11" t="s">
        <v>123</v>
      </c>
      <c r="M164" s="11"/>
      <c r="N164" s="11"/>
      <c r="O164" s="17">
        <v>1</v>
      </c>
      <c r="P164" s="17"/>
      <c r="Q164" s="17"/>
    </row>
    <row r="165" spans="1:20" x14ac:dyDescent="0.2">
      <c r="A165" s="61" t="s">
        <v>1166</v>
      </c>
      <c r="B165" s="61"/>
      <c r="C165" s="61"/>
      <c r="D165" s="61"/>
      <c r="E165" s="61"/>
      <c r="F165" s="61"/>
      <c r="G165" s="61"/>
      <c r="H165" s="61"/>
      <c r="I165" s="61"/>
      <c r="J165" s="61"/>
      <c r="K165" s="61"/>
      <c r="L165" s="61"/>
      <c r="M165" s="61"/>
      <c r="N165" s="61"/>
      <c r="O165" s="61"/>
      <c r="P165" s="61"/>
      <c r="Q165" s="147"/>
    </row>
    <row r="166" spans="1:20" x14ac:dyDescent="0.2">
      <c r="A166" s="554" t="s">
        <v>155</v>
      </c>
      <c r="B166" s="556"/>
      <c r="C166" s="62" t="s">
        <v>156</v>
      </c>
      <c r="D166" s="554" t="s">
        <v>155</v>
      </c>
      <c r="E166" s="555"/>
      <c r="F166" s="555"/>
      <c r="G166" s="556"/>
      <c r="H166" s="294"/>
      <c r="I166" s="294" t="s">
        <v>156</v>
      </c>
      <c r="J166" s="554" t="s">
        <v>155</v>
      </c>
      <c r="K166" s="555"/>
      <c r="L166" s="556"/>
      <c r="M166" s="345"/>
      <c r="N166" s="345"/>
      <c r="O166" s="554" t="s">
        <v>156</v>
      </c>
      <c r="P166" s="556"/>
      <c r="Q166" s="45"/>
    </row>
    <row r="167" spans="1:20" x14ac:dyDescent="0.2">
      <c r="A167" s="298" t="s">
        <v>1408</v>
      </c>
      <c r="B167" s="299"/>
      <c r="C167" s="63">
        <v>0.5</v>
      </c>
      <c r="D167" s="608" t="s">
        <v>1409</v>
      </c>
      <c r="E167" s="508"/>
      <c r="F167" s="508"/>
      <c r="G167" s="609"/>
      <c r="H167" s="73"/>
      <c r="I167" s="48">
        <v>0.25</v>
      </c>
      <c r="J167" s="608" t="s">
        <v>1410</v>
      </c>
      <c r="K167" s="508"/>
      <c r="L167" s="609"/>
      <c r="M167" s="277"/>
      <c r="N167" s="277"/>
      <c r="O167" s="493">
        <v>0.25</v>
      </c>
      <c r="P167" s="494"/>
      <c r="Q167" s="16"/>
    </row>
    <row r="168" spans="1:20" x14ac:dyDescent="0.2">
      <c r="A168" s="296"/>
      <c r="B168" s="297"/>
      <c r="C168" s="64"/>
      <c r="D168" s="605"/>
      <c r="E168" s="606"/>
      <c r="F168" s="606"/>
      <c r="G168" s="607"/>
      <c r="H168" s="353"/>
      <c r="I168" s="64"/>
      <c r="J168" s="605"/>
      <c r="K168" s="606"/>
      <c r="L168" s="607"/>
      <c r="M168" s="344"/>
      <c r="N168" s="344"/>
      <c r="O168" s="600"/>
      <c r="P168" s="601"/>
      <c r="Q168" s="376"/>
    </row>
    <row r="169" spans="1:20" x14ac:dyDescent="0.2">
      <c r="A169" s="296"/>
      <c r="B169" s="297"/>
      <c r="C169" s="65"/>
      <c r="D169" s="605"/>
      <c r="E169" s="606"/>
      <c r="F169" s="606"/>
      <c r="G169" s="607"/>
      <c r="H169" s="353"/>
      <c r="I169" s="64"/>
      <c r="J169" s="605"/>
      <c r="K169" s="606"/>
      <c r="L169" s="607"/>
      <c r="M169" s="344"/>
      <c r="N169" s="344"/>
      <c r="O169" s="600"/>
      <c r="P169" s="601"/>
      <c r="Q169" s="376"/>
    </row>
    <row r="170" spans="1:20" x14ac:dyDescent="0.2">
      <c r="A170" s="296"/>
      <c r="B170" s="297"/>
      <c r="C170" s="65"/>
      <c r="D170" s="605"/>
      <c r="E170" s="606"/>
      <c r="F170" s="606"/>
      <c r="G170" s="607"/>
      <c r="H170" s="353"/>
      <c r="I170" s="64"/>
      <c r="J170" s="605"/>
      <c r="K170" s="606"/>
      <c r="L170" s="607"/>
      <c r="M170" s="344"/>
      <c r="N170" s="344"/>
      <c r="O170" s="600"/>
      <c r="P170" s="601"/>
      <c r="Q170" s="376"/>
    </row>
    <row r="171" spans="1:20" x14ac:dyDescent="0.2">
      <c r="A171" s="296"/>
      <c r="B171" s="297"/>
      <c r="C171" s="65"/>
      <c r="D171" s="605"/>
      <c r="E171" s="606"/>
      <c r="F171" s="606"/>
      <c r="G171" s="607"/>
      <c r="H171" s="353"/>
      <c r="I171" s="64"/>
      <c r="J171" s="605"/>
      <c r="K171" s="606"/>
      <c r="L171" s="607"/>
      <c r="M171" s="344"/>
      <c r="N171" s="344"/>
      <c r="O171" s="600"/>
      <c r="P171" s="601"/>
      <c r="Q171" s="376"/>
    </row>
    <row r="172" spans="1:20" x14ac:dyDescent="0.2">
      <c r="A172" s="160"/>
      <c r="B172" s="160"/>
      <c r="C172" s="50"/>
      <c r="D172" s="160"/>
      <c r="E172" s="160"/>
      <c r="F172" s="160"/>
      <c r="G172" s="160"/>
      <c r="H172" s="160"/>
      <c r="I172" s="50"/>
      <c r="J172" s="160"/>
      <c r="K172" s="160"/>
      <c r="L172" s="160"/>
    </row>
    <row r="173" spans="1:20" x14ac:dyDescent="0.2">
      <c r="A173" s="12" t="s">
        <v>157</v>
      </c>
      <c r="B173" s="12"/>
      <c r="C173" s="12"/>
      <c r="D173" s="12"/>
      <c r="E173" s="12"/>
      <c r="F173" s="12"/>
      <c r="G173" s="602" t="s">
        <v>1411</v>
      </c>
      <c r="H173" s="602"/>
      <c r="I173" s="602"/>
      <c r="J173" s="602"/>
      <c r="K173" s="388"/>
    </row>
    <row r="174" spans="1:20" x14ac:dyDescent="0.2">
      <c r="A174" s="12" t="s">
        <v>158</v>
      </c>
      <c r="B174" s="12"/>
      <c r="C174" s="12"/>
      <c r="D174" s="12"/>
      <c r="E174" s="12"/>
      <c r="F174" s="12"/>
      <c r="G174" s="603" t="s">
        <v>1389</v>
      </c>
      <c r="H174" s="603"/>
      <c r="I174" s="603"/>
      <c r="J174" s="603"/>
      <c r="K174" s="388"/>
    </row>
    <row r="175" spans="1:20" x14ac:dyDescent="0.2">
      <c r="A175" s="12"/>
      <c r="B175" s="12"/>
      <c r="C175" s="12"/>
      <c r="D175" s="12"/>
      <c r="E175" s="12"/>
      <c r="F175" s="12"/>
      <c r="G175" s="58"/>
      <c r="H175" s="58"/>
      <c r="I175" s="58"/>
      <c r="J175" s="58"/>
      <c r="K175" s="58"/>
    </row>
    <row r="176" spans="1:20" ht="13.5" thickBot="1" x14ac:dyDescent="0.25">
      <c r="A176" s="7"/>
      <c r="B176" s="7"/>
      <c r="C176" s="7"/>
      <c r="D176" s="7"/>
      <c r="E176" s="7"/>
      <c r="F176" s="7"/>
      <c r="G176" s="7"/>
      <c r="H176" s="7"/>
      <c r="I176" s="7"/>
      <c r="J176" s="7"/>
      <c r="K176" s="7"/>
      <c r="L176" s="7"/>
      <c r="M176" s="7"/>
      <c r="N176" s="7"/>
      <c r="O176" s="7"/>
      <c r="P176" s="7"/>
      <c r="Q176" s="7"/>
      <c r="R176" s="7"/>
      <c r="S176" s="7"/>
      <c r="T176" s="7"/>
    </row>
    <row r="178" spans="1:18" ht="15.75" x14ac:dyDescent="0.25">
      <c r="A178" s="306" t="s">
        <v>159</v>
      </c>
    </row>
    <row r="179" spans="1:18" x14ac:dyDescent="0.2">
      <c r="A179" s="43" t="s">
        <v>160</v>
      </c>
      <c r="B179" s="295" t="s">
        <v>1382</v>
      </c>
      <c r="C179" s="295"/>
      <c r="D179" s="43" t="s">
        <v>161</v>
      </c>
      <c r="E179" s="43"/>
      <c r="F179" s="43"/>
      <c r="G179" s="283" t="s">
        <v>425</v>
      </c>
      <c r="H179" s="283"/>
      <c r="I179" s="283"/>
      <c r="L179" s="2" t="s">
        <v>163</v>
      </c>
      <c r="P179" s="66">
        <v>1</v>
      </c>
      <c r="Q179" s="377"/>
      <c r="R179" s="67"/>
    </row>
    <row r="180" spans="1:18" x14ac:dyDescent="0.2">
      <c r="A180" s="43"/>
      <c r="B180" s="68"/>
      <c r="C180" s="68"/>
      <c r="D180" s="3"/>
      <c r="E180" s="3"/>
      <c r="F180" s="3"/>
      <c r="G180" s="5"/>
      <c r="H180" s="5"/>
    </row>
    <row r="181" spans="1:18" x14ac:dyDescent="0.2">
      <c r="A181" s="43" t="s">
        <v>164</v>
      </c>
      <c r="B181" s="17" t="s">
        <v>165</v>
      </c>
      <c r="C181" s="69">
        <v>1</v>
      </c>
      <c r="F181" s="3" t="s">
        <v>166</v>
      </c>
      <c r="G181" s="69">
        <v>0</v>
      </c>
      <c r="H181" s="354"/>
      <c r="J181" s="3" t="s">
        <v>167</v>
      </c>
      <c r="K181" s="3"/>
      <c r="L181" s="69">
        <v>0</v>
      </c>
      <c r="M181" s="354"/>
      <c r="N181" s="354"/>
      <c r="O181" s="17"/>
      <c r="P181" s="17"/>
      <c r="Q181" s="17"/>
      <c r="R181" s="17"/>
    </row>
    <row r="182" spans="1:18" x14ac:dyDescent="0.2">
      <c r="A182" s="3"/>
      <c r="B182" s="3"/>
      <c r="C182" s="17"/>
      <c r="D182" s="16"/>
      <c r="E182" s="16"/>
      <c r="F182" s="3"/>
      <c r="G182" s="3"/>
      <c r="H182" s="3"/>
      <c r="I182" s="16"/>
      <c r="J182" s="3"/>
      <c r="K182" s="3"/>
      <c r="L182" s="16"/>
      <c r="M182" s="16"/>
      <c r="N182" s="16"/>
      <c r="O182" s="17"/>
      <c r="P182" s="17"/>
      <c r="Q182" s="17"/>
      <c r="R182" s="17"/>
    </row>
    <row r="183" spans="1:18" x14ac:dyDescent="0.2">
      <c r="A183" s="15" t="s">
        <v>168</v>
      </c>
      <c r="B183" s="3"/>
      <c r="C183" s="283" t="s">
        <v>10</v>
      </c>
      <c r="D183" s="16"/>
      <c r="E183" s="16"/>
      <c r="F183" s="3"/>
      <c r="G183" s="3"/>
      <c r="H183" s="3"/>
      <c r="I183" s="16"/>
      <c r="J183" s="3"/>
      <c r="K183" s="3"/>
      <c r="L183" s="16"/>
      <c r="M183" s="16"/>
      <c r="N183" s="16"/>
      <c r="O183" s="17"/>
      <c r="P183" s="17"/>
      <c r="Q183" s="17"/>
      <c r="R183" s="17"/>
    </row>
    <row r="184" spans="1:18" x14ac:dyDescent="0.2">
      <c r="A184" s="15"/>
      <c r="B184" s="3"/>
      <c r="C184" s="6" t="s">
        <v>10</v>
      </c>
      <c r="D184" s="16"/>
      <c r="E184" s="16"/>
      <c r="F184" s="3"/>
      <c r="G184" s="3"/>
      <c r="H184" s="3"/>
      <c r="I184" s="16"/>
      <c r="J184" s="3"/>
      <c r="K184" s="3"/>
      <c r="L184" s="16"/>
      <c r="M184" s="16"/>
      <c r="N184" s="16"/>
      <c r="O184" s="17"/>
      <c r="P184" s="17"/>
      <c r="Q184" s="17"/>
      <c r="R184" s="17"/>
    </row>
    <row r="185" spans="1:18" x14ac:dyDescent="0.2">
      <c r="A185" s="15" t="s">
        <v>169</v>
      </c>
      <c r="B185" s="3"/>
      <c r="C185" s="70" t="s">
        <v>10</v>
      </c>
      <c r="D185" s="16"/>
      <c r="E185" s="16"/>
      <c r="F185" s="3"/>
      <c r="G185" s="3"/>
      <c r="H185" s="3"/>
      <c r="I185" s="16"/>
      <c r="J185" s="3"/>
      <c r="K185" s="3"/>
      <c r="L185" s="16"/>
      <c r="M185" s="16"/>
      <c r="N185" s="16"/>
      <c r="O185" s="17"/>
      <c r="P185" s="17"/>
      <c r="Q185" s="17"/>
      <c r="R185" s="17"/>
    </row>
    <row r="186" spans="1:18" x14ac:dyDescent="0.2">
      <c r="A186" s="15"/>
      <c r="B186" s="3"/>
      <c r="C186" s="71"/>
      <c r="D186" s="16"/>
      <c r="E186" s="16"/>
      <c r="F186" s="3"/>
      <c r="G186" s="3"/>
      <c r="H186" s="3"/>
      <c r="I186" s="16"/>
      <c r="J186" s="3"/>
      <c r="K186" s="3"/>
      <c r="L186" s="16"/>
      <c r="M186" s="16"/>
      <c r="N186" s="16"/>
      <c r="O186" s="17"/>
      <c r="P186" s="17"/>
      <c r="Q186" s="17"/>
      <c r="R186" s="17"/>
    </row>
    <row r="187" spans="1:18" x14ac:dyDescent="0.2">
      <c r="A187" s="15" t="s">
        <v>170</v>
      </c>
      <c r="B187" s="3"/>
      <c r="C187" s="283" t="s">
        <v>13</v>
      </c>
      <c r="D187" s="5"/>
      <c r="E187" s="5"/>
      <c r="F187" s="3"/>
      <c r="G187" s="3"/>
      <c r="H187" s="3"/>
      <c r="I187" s="16"/>
      <c r="J187" s="3"/>
      <c r="K187" s="3"/>
      <c r="L187" s="16"/>
      <c r="M187" s="16"/>
      <c r="N187" s="16"/>
      <c r="O187" s="17"/>
      <c r="P187" s="17"/>
      <c r="Q187" s="17"/>
      <c r="R187" s="17"/>
    </row>
    <row r="188" spans="1:18" x14ac:dyDescent="0.2">
      <c r="A188" s="15"/>
      <c r="B188" s="3"/>
      <c r="C188" s="6"/>
      <c r="D188" s="5"/>
      <c r="E188" s="5"/>
      <c r="F188" s="3"/>
      <c r="G188" s="3"/>
      <c r="H188" s="3"/>
      <c r="I188" s="16"/>
      <c r="J188" s="3"/>
      <c r="K188" s="3"/>
      <c r="L188" s="16"/>
      <c r="M188" s="16"/>
      <c r="N188" s="16"/>
      <c r="O188" s="17"/>
      <c r="P188" s="17"/>
      <c r="Q188" s="17"/>
      <c r="R188" s="17"/>
    </row>
    <row r="189" spans="1:18" x14ac:dyDescent="0.2">
      <c r="A189" s="15" t="s">
        <v>171</v>
      </c>
      <c r="B189" s="3"/>
      <c r="C189" s="283" t="s">
        <v>10</v>
      </c>
      <c r="D189" s="5"/>
      <c r="E189" s="5"/>
      <c r="F189" s="3"/>
      <c r="G189" s="3"/>
      <c r="H189" s="3"/>
      <c r="I189" s="16"/>
      <c r="J189" s="3"/>
      <c r="K189" s="3"/>
      <c r="L189" s="16"/>
      <c r="M189" s="16"/>
      <c r="N189" s="16"/>
      <c r="O189" s="17"/>
      <c r="P189" s="17"/>
      <c r="Q189" s="17"/>
      <c r="R189" s="17"/>
    </row>
    <row r="190" spans="1:18" x14ac:dyDescent="0.2">
      <c r="A190" s="15"/>
      <c r="B190" s="3"/>
      <c r="C190" s="6" t="s">
        <v>13</v>
      </c>
      <c r="D190" s="5"/>
      <c r="E190" s="5"/>
      <c r="F190" s="3"/>
      <c r="G190" s="3"/>
      <c r="H190" s="3"/>
      <c r="I190" s="16"/>
      <c r="J190" s="3"/>
      <c r="K190" s="3"/>
      <c r="L190" s="16"/>
      <c r="M190" s="16"/>
      <c r="N190" s="16"/>
      <c r="O190" s="17"/>
      <c r="P190" s="17"/>
      <c r="Q190" s="17"/>
      <c r="R190" s="17"/>
    </row>
    <row r="191" spans="1:18" x14ac:dyDescent="0.2">
      <c r="A191" s="15" t="s">
        <v>172</v>
      </c>
      <c r="B191" s="3"/>
      <c r="C191" s="69"/>
      <c r="D191" s="5"/>
      <c r="E191" s="5"/>
      <c r="F191" s="3"/>
      <c r="G191" s="3"/>
      <c r="H191" s="3"/>
      <c r="I191" s="16"/>
      <c r="J191" s="3"/>
      <c r="K191" s="3"/>
      <c r="L191" s="16"/>
      <c r="M191" s="16"/>
      <c r="N191" s="16"/>
      <c r="O191" s="17"/>
      <c r="P191" s="17"/>
      <c r="Q191" s="17"/>
      <c r="R191" s="17"/>
    </row>
    <row r="192" spans="1:18" x14ac:dyDescent="0.2">
      <c r="A192" s="15"/>
      <c r="B192" s="3"/>
      <c r="C192" s="6"/>
      <c r="D192" s="5"/>
      <c r="E192" s="5"/>
      <c r="F192" s="3"/>
      <c r="G192" s="3"/>
      <c r="H192" s="3"/>
      <c r="I192" s="16"/>
      <c r="J192" s="3"/>
      <c r="K192" s="3"/>
      <c r="L192" s="16"/>
      <c r="M192" s="16"/>
      <c r="N192" s="16"/>
      <c r="O192" s="17"/>
      <c r="P192" s="17"/>
      <c r="Q192" s="17"/>
      <c r="R192" s="17"/>
    </row>
    <row r="193" spans="1:20" x14ac:dyDescent="0.2">
      <c r="A193" s="15" t="s">
        <v>173</v>
      </c>
      <c r="B193" s="3"/>
      <c r="C193" s="283" t="s">
        <v>13</v>
      </c>
      <c r="D193" s="16"/>
      <c r="E193" s="16"/>
      <c r="F193" s="12" t="s">
        <v>152</v>
      </c>
      <c r="I193" s="111"/>
      <c r="J193" s="266"/>
      <c r="K193" s="266"/>
      <c r="L193" s="416"/>
      <c r="M193" s="416"/>
      <c r="N193" s="416"/>
      <c r="O193" s="420"/>
      <c r="P193" s="17"/>
      <c r="Q193" s="17"/>
      <c r="R193" s="17"/>
    </row>
    <row r="194" spans="1:20" ht="6.75" customHeight="1" x14ac:dyDescent="0.2">
      <c r="A194" s="3"/>
      <c r="B194" s="3"/>
      <c r="C194" s="17"/>
      <c r="D194" s="16"/>
      <c r="E194" s="16"/>
      <c r="F194" s="3"/>
      <c r="G194" s="3"/>
      <c r="H194" s="3"/>
      <c r="I194" s="16"/>
      <c r="J194" s="3"/>
      <c r="K194" s="3"/>
      <c r="L194" s="16"/>
      <c r="M194" s="16"/>
      <c r="N194" s="16"/>
      <c r="O194" s="17"/>
      <c r="P194" s="17"/>
      <c r="Q194" s="17"/>
      <c r="R194" s="17"/>
    </row>
    <row r="195" spans="1:20" x14ac:dyDescent="0.2">
      <c r="A195" s="618" t="s">
        <v>1344</v>
      </c>
      <c r="B195" s="618"/>
      <c r="C195" s="618"/>
      <c r="D195" s="618"/>
      <c r="E195" s="618"/>
      <c r="F195" s="618"/>
      <c r="G195" s="618"/>
      <c r="H195" s="618"/>
      <c r="I195" s="618"/>
      <c r="J195" s="618"/>
      <c r="K195" s="11"/>
      <c r="L195" s="11"/>
      <c r="M195" s="11"/>
      <c r="N195" s="11"/>
      <c r="O195" s="11"/>
    </row>
    <row r="196" spans="1:20" ht="14.65" customHeight="1" thickBot="1" x14ac:dyDescent="0.25">
      <c r="A196" s="617" t="s">
        <v>1336</v>
      </c>
      <c r="B196" s="617"/>
      <c r="C196" s="617" t="s">
        <v>1334</v>
      </c>
      <c r="D196" s="617"/>
      <c r="F196" s="617" t="s">
        <v>1335</v>
      </c>
      <c r="G196" s="617"/>
      <c r="I196" s="617" t="s">
        <v>1333</v>
      </c>
      <c r="J196" s="617"/>
      <c r="O196" s="487" t="s">
        <v>1360</v>
      </c>
      <c r="P196" s="487"/>
      <c r="Q196" s="487"/>
      <c r="R196" s="487"/>
      <c r="S196" s="487"/>
      <c r="T196" s="487"/>
    </row>
    <row r="197" spans="1:20" ht="15" customHeight="1" x14ac:dyDescent="0.2">
      <c r="A197" s="75" t="s">
        <v>1330</v>
      </c>
      <c r="B197" s="69"/>
      <c r="C197" s="407"/>
      <c r="D197" s="408"/>
      <c r="F197" s="407" t="s">
        <v>1340</v>
      </c>
      <c r="G197" s="408">
        <v>1</v>
      </c>
      <c r="I197" s="407"/>
      <c r="J197" s="408"/>
      <c r="O197" s="407" t="s">
        <v>1356</v>
      </c>
      <c r="P197" s="423"/>
      <c r="Q197" s="75"/>
      <c r="R197" s="75" t="s">
        <v>1366</v>
      </c>
      <c r="S197" s="75"/>
      <c r="T197" s="408"/>
    </row>
    <row r="198" spans="1:20" x14ac:dyDescent="0.2">
      <c r="A198" s="2" t="s">
        <v>1331</v>
      </c>
      <c r="B198" s="157"/>
      <c r="C198" s="91" t="s">
        <v>1392</v>
      </c>
      <c r="D198" s="157">
        <v>1</v>
      </c>
      <c r="F198" s="91" t="s">
        <v>1341</v>
      </c>
      <c r="G198" s="157"/>
      <c r="H198" s="3"/>
      <c r="I198" s="91"/>
      <c r="J198" s="157"/>
      <c r="O198" s="91" t="s">
        <v>1357</v>
      </c>
      <c r="P198" s="424"/>
      <c r="R198" s="2" t="s">
        <v>1367</v>
      </c>
      <c r="T198" s="157"/>
    </row>
    <row r="199" spans="1:20" ht="21.4" customHeight="1" x14ac:dyDescent="0.2">
      <c r="A199" s="12" t="s">
        <v>1332</v>
      </c>
      <c r="B199" s="157"/>
      <c r="C199" s="90" t="s">
        <v>1338</v>
      </c>
      <c r="D199" s="157"/>
      <c r="F199" s="90" t="s">
        <v>1342</v>
      </c>
      <c r="G199" s="157"/>
      <c r="H199" s="3"/>
      <c r="I199" s="90" t="s">
        <v>1328</v>
      </c>
      <c r="J199" s="157"/>
      <c r="O199" s="90" t="s">
        <v>1358</v>
      </c>
      <c r="P199" s="424"/>
      <c r="R199" s="12" t="s">
        <v>1358</v>
      </c>
      <c r="T199" s="157"/>
    </row>
    <row r="200" spans="1:20" x14ac:dyDescent="0.2">
      <c r="A200" s="2" t="s">
        <v>1337</v>
      </c>
      <c r="B200" s="157"/>
      <c r="C200" s="91" t="s">
        <v>1339</v>
      </c>
      <c r="D200" s="413"/>
      <c r="F200" s="91" t="s">
        <v>1343</v>
      </c>
      <c r="G200" s="413"/>
      <c r="I200" s="91"/>
      <c r="J200" s="86"/>
      <c r="O200" s="91" t="s">
        <v>1359</v>
      </c>
      <c r="P200" s="424"/>
      <c r="R200" s="2" t="s">
        <v>1368</v>
      </c>
      <c r="T200" s="157"/>
    </row>
    <row r="201" spans="1:20" ht="13.5" customHeight="1" x14ac:dyDescent="0.2">
      <c r="A201" s="2" t="s">
        <v>184</v>
      </c>
      <c r="B201" s="157"/>
      <c r="C201" s="91"/>
      <c r="D201" s="415"/>
      <c r="F201" s="91"/>
      <c r="G201" s="415"/>
      <c r="I201" s="412"/>
      <c r="J201" s="86"/>
      <c r="O201" s="91" t="s">
        <v>1365</v>
      </c>
      <c r="P201" s="424"/>
      <c r="R201" s="2" t="s">
        <v>1369</v>
      </c>
      <c r="T201" s="157"/>
    </row>
    <row r="202" spans="1:20" ht="13.5" thickBot="1" x14ac:dyDescent="0.25">
      <c r="A202" s="411" t="s">
        <v>1329</v>
      </c>
      <c r="B202" s="410">
        <f>SUM(B197:B201)</f>
        <v>0</v>
      </c>
      <c r="C202" s="409"/>
      <c r="D202" s="414">
        <f>SUM(D197:D201)</f>
        <v>1</v>
      </c>
      <c r="F202" s="409" t="s">
        <v>1329</v>
      </c>
      <c r="G202" s="414">
        <f>SUM(G197:G201)</f>
        <v>1</v>
      </c>
      <c r="I202" s="409" t="s">
        <v>1329</v>
      </c>
      <c r="J202" s="414"/>
      <c r="O202" s="409" t="s">
        <v>1329</v>
      </c>
      <c r="P202" s="7"/>
      <c r="Q202" s="7"/>
      <c r="R202" s="7"/>
      <c r="S202" s="7"/>
      <c r="T202" s="414">
        <f>SUM(P197:P201,T197:T201)</f>
        <v>0</v>
      </c>
    </row>
    <row r="203" spans="1:20" x14ac:dyDescent="0.2">
      <c r="C203" s="16"/>
      <c r="D203" s="43"/>
      <c r="E203" s="43"/>
      <c r="F203" s="3"/>
      <c r="G203" s="604"/>
      <c r="H203" s="604"/>
      <c r="I203" s="604"/>
      <c r="J203" s="16"/>
      <c r="K203" s="354"/>
    </row>
    <row r="204" spans="1:20" x14ac:dyDescent="0.2">
      <c r="A204" s="2" t="s">
        <v>1361</v>
      </c>
      <c r="C204" s="16"/>
      <c r="D204" s="43"/>
      <c r="E204" s="43"/>
      <c r="F204" s="69">
        <v>0</v>
      </c>
      <c r="G204" s="3"/>
      <c r="H204" s="3"/>
      <c r="I204" s="3"/>
      <c r="J204" s="421" t="s">
        <v>1362</v>
      </c>
      <c r="K204" s="16"/>
      <c r="O204" s="287"/>
      <c r="P204" s="287"/>
      <c r="Q204" s="3"/>
      <c r="R204" s="3"/>
      <c r="S204" s="16"/>
    </row>
    <row r="205" spans="1:20" x14ac:dyDescent="0.2">
      <c r="A205" s="2" t="s">
        <v>205</v>
      </c>
      <c r="F205" s="69">
        <v>0</v>
      </c>
      <c r="G205" s="43"/>
      <c r="H205" s="43"/>
      <c r="I205" s="94"/>
      <c r="J205" s="89"/>
      <c r="K205" s="89"/>
      <c r="L205" s="89"/>
      <c r="M205" s="89"/>
      <c r="N205" s="89"/>
      <c r="O205" s="89"/>
      <c r="P205" s="89"/>
      <c r="Q205" s="89"/>
    </row>
    <row r="206" spans="1:20" x14ac:dyDescent="0.2">
      <c r="A206" s="2" t="s">
        <v>207</v>
      </c>
      <c r="F206" s="283" t="s">
        <v>13</v>
      </c>
      <c r="G206" s="5"/>
      <c r="H206" s="5"/>
      <c r="J206" s="3" t="s">
        <v>208</v>
      </c>
      <c r="K206" s="3"/>
      <c r="L206" s="3"/>
      <c r="M206" s="3"/>
      <c r="N206" s="3"/>
      <c r="O206" s="287"/>
      <c r="P206" s="287"/>
      <c r="Q206" s="367"/>
    </row>
    <row r="207" spans="1:20" x14ac:dyDescent="0.2">
      <c r="A207" s="2" t="s">
        <v>209</v>
      </c>
      <c r="F207" s="283" t="s">
        <v>13</v>
      </c>
      <c r="G207" s="5"/>
      <c r="H207" s="5"/>
      <c r="J207" s="3" t="s">
        <v>208</v>
      </c>
      <c r="K207" s="3"/>
      <c r="L207" s="3"/>
      <c r="M207" s="3"/>
      <c r="N207" s="3"/>
      <c r="O207" s="286"/>
      <c r="P207" s="286"/>
      <c r="Q207" s="367"/>
    </row>
    <row r="208" spans="1:20" x14ac:dyDescent="0.2">
      <c r="A208" s="2" t="s">
        <v>210</v>
      </c>
      <c r="F208" s="283" t="s">
        <v>13</v>
      </c>
      <c r="G208" s="5"/>
      <c r="H208" s="5"/>
      <c r="J208" s="3" t="s">
        <v>211</v>
      </c>
      <c r="K208" s="3"/>
      <c r="L208" s="3"/>
      <c r="M208" s="3"/>
      <c r="N208" s="3"/>
      <c r="O208" s="286"/>
      <c r="P208" s="286"/>
      <c r="Q208" s="367"/>
    </row>
    <row r="209" spans="1:20" x14ac:dyDescent="0.2">
      <c r="A209" s="2" t="s">
        <v>212</v>
      </c>
      <c r="F209" s="283" t="s">
        <v>13</v>
      </c>
      <c r="G209" s="5"/>
      <c r="H209" s="5"/>
      <c r="J209" s="3" t="s">
        <v>211</v>
      </c>
      <c r="K209" s="3"/>
      <c r="L209" s="3"/>
      <c r="M209" s="3"/>
      <c r="N209" s="3"/>
      <c r="O209" s="286"/>
      <c r="P209" s="286"/>
      <c r="Q209" s="367"/>
    </row>
    <row r="210" spans="1:20" x14ac:dyDescent="0.2">
      <c r="A210" s="2" t="s">
        <v>213</v>
      </c>
      <c r="F210" s="283" t="s">
        <v>13</v>
      </c>
      <c r="G210" s="5"/>
      <c r="H210" s="5"/>
      <c r="I210" s="94"/>
      <c r="J210" s="89"/>
      <c r="K210" s="89"/>
      <c r="L210" s="89"/>
      <c r="M210" s="89"/>
      <c r="N210" s="89"/>
      <c r="O210" s="89"/>
      <c r="P210" s="89"/>
      <c r="Q210" s="89"/>
    </row>
    <row r="211" spans="1:20" x14ac:dyDescent="0.2">
      <c r="A211" s="2" t="s">
        <v>214</v>
      </c>
      <c r="F211" s="283" t="s">
        <v>13</v>
      </c>
      <c r="G211" s="5"/>
      <c r="H211" s="5"/>
      <c r="I211" s="94"/>
      <c r="J211" s="89"/>
      <c r="K211" s="89"/>
      <c r="L211" s="89"/>
      <c r="M211" s="89"/>
      <c r="N211" s="89"/>
      <c r="O211" s="89"/>
      <c r="P211" s="89"/>
      <c r="Q211" s="89"/>
    </row>
    <row r="212" spans="1:20" x14ac:dyDescent="0.2">
      <c r="A212" s="2" t="s">
        <v>215</v>
      </c>
      <c r="F212" s="283" t="s">
        <v>10</v>
      </c>
    </row>
    <row r="213" spans="1:20" ht="15.75" customHeight="1" thickBot="1" x14ac:dyDescent="0.25">
      <c r="A213" s="425" t="s">
        <v>1376</v>
      </c>
      <c r="F213" s="283" t="s">
        <v>13</v>
      </c>
      <c r="J213" s="3" t="s">
        <v>1377</v>
      </c>
      <c r="K213" s="3"/>
      <c r="L213" s="3"/>
      <c r="M213" s="3"/>
      <c r="N213" s="3"/>
      <c r="O213" s="287"/>
      <c r="P213" s="287"/>
      <c r="Q213" s="108"/>
      <c r="R213" s="108"/>
      <c r="S213" s="108"/>
      <c r="T213" s="108"/>
    </row>
    <row r="214" spans="1:20" ht="15.75" x14ac:dyDescent="0.25">
      <c r="A214" s="95" t="s">
        <v>1167</v>
      </c>
      <c r="B214" s="118"/>
      <c r="C214" s="151"/>
      <c r="D214" s="151"/>
      <c r="E214" s="151"/>
      <c r="F214" s="151"/>
      <c r="G214" s="151"/>
      <c r="H214" s="151"/>
      <c r="I214" s="151"/>
      <c r="J214" s="151"/>
      <c r="K214" s="151"/>
      <c r="L214" s="151"/>
      <c r="M214" s="151"/>
      <c r="N214" s="151"/>
      <c r="O214" s="151"/>
      <c r="P214" s="151"/>
      <c r="Q214" s="151"/>
      <c r="R214" s="151"/>
      <c r="S214" s="75"/>
      <c r="T214" s="97"/>
    </row>
    <row r="215" spans="1:20" ht="16.899999999999999" customHeight="1" x14ac:dyDescent="0.2">
      <c r="A215" s="152"/>
      <c r="B215" s="12"/>
      <c r="C215" s="148"/>
      <c r="D215" s="148"/>
      <c r="E215" s="148"/>
      <c r="F215" s="148"/>
      <c r="G215" s="148"/>
      <c r="H215" s="148"/>
      <c r="I215" s="148"/>
      <c r="J215" s="148"/>
      <c r="K215" s="148"/>
      <c r="L215" s="148"/>
      <c r="M215" s="148"/>
      <c r="N215" s="148"/>
      <c r="O215" s="148"/>
      <c r="P215" s="148"/>
      <c r="Q215" s="148"/>
      <c r="R215" s="148"/>
      <c r="T215" s="86"/>
    </row>
    <row r="216" spans="1:20" ht="16.5" x14ac:dyDescent="0.25">
      <c r="A216" s="91" t="s">
        <v>306</v>
      </c>
      <c r="F216" s="69" t="s">
        <v>13</v>
      </c>
      <c r="G216" s="148"/>
      <c r="H216" s="148"/>
      <c r="I216" s="153" t="s">
        <v>307</v>
      </c>
      <c r="J216" s="148"/>
      <c r="K216" s="148"/>
      <c r="L216" s="148"/>
      <c r="M216" s="148"/>
      <c r="N216" s="148"/>
      <c r="O216" s="148"/>
      <c r="P216" s="148"/>
      <c r="Q216" s="148"/>
      <c r="R216" s="148"/>
      <c r="T216" s="86"/>
    </row>
    <row r="217" spans="1:20" x14ac:dyDescent="0.2">
      <c r="A217" s="91" t="s">
        <v>308</v>
      </c>
      <c r="F217" s="69" t="s">
        <v>13</v>
      </c>
      <c r="G217" s="148"/>
      <c r="H217" s="148"/>
      <c r="I217" s="148"/>
      <c r="J217" s="148"/>
      <c r="K217" s="148"/>
      <c r="L217" s="148"/>
      <c r="M217" s="148"/>
      <c r="N217" s="148"/>
      <c r="O217" s="148"/>
      <c r="P217" s="148"/>
      <c r="Q217" s="148"/>
      <c r="R217" s="148"/>
      <c r="T217" s="86"/>
    </row>
    <row r="218" spans="1:20" ht="13.5" thickBot="1" x14ac:dyDescent="0.25">
      <c r="A218" s="91"/>
      <c r="T218" s="86"/>
    </row>
    <row r="219" spans="1:20" x14ac:dyDescent="0.2">
      <c r="A219" s="614" t="s">
        <v>309</v>
      </c>
      <c r="B219" s="615"/>
      <c r="C219" s="615"/>
      <c r="D219" s="615"/>
      <c r="E219" s="615"/>
      <c r="F219" s="615"/>
      <c r="G219" s="615"/>
      <c r="H219" s="615"/>
      <c r="I219" s="616"/>
      <c r="T219" s="86"/>
    </row>
    <row r="220" spans="1:20" ht="15" x14ac:dyDescent="0.25">
      <c r="A220" s="154"/>
      <c r="B220"/>
      <c r="C220"/>
      <c r="D220"/>
      <c r="E220"/>
      <c r="F220"/>
      <c r="G220"/>
      <c r="H220"/>
      <c r="I220" s="155"/>
      <c r="T220" s="86"/>
    </row>
    <row r="221" spans="1:20" ht="15" customHeight="1" x14ac:dyDescent="0.2">
      <c r="A221" s="267" t="s">
        <v>310</v>
      </c>
      <c r="B221" s="268"/>
      <c r="C221" s="268"/>
      <c r="D221" s="268"/>
      <c r="E221" s="268"/>
      <c r="F221" s="268"/>
      <c r="G221" s="269"/>
      <c r="H221" s="268"/>
      <c r="I221" s="156" t="s">
        <v>10</v>
      </c>
      <c r="T221" s="86"/>
    </row>
    <row r="222" spans="1:20" ht="15" customHeight="1" x14ac:dyDescent="0.2">
      <c r="A222" s="267" t="s">
        <v>311</v>
      </c>
      <c r="B222" s="268"/>
      <c r="C222" s="268"/>
      <c r="D222" s="268"/>
      <c r="E222" s="268"/>
      <c r="F222" s="268"/>
      <c r="G222" s="269"/>
      <c r="H222" s="355"/>
      <c r="I222" s="157" t="s">
        <v>10</v>
      </c>
      <c r="T222" s="86"/>
    </row>
    <row r="223" spans="1:20" ht="30" customHeight="1" x14ac:dyDescent="0.2">
      <c r="A223" s="484" t="s">
        <v>312</v>
      </c>
      <c r="B223" s="485"/>
      <c r="C223" s="485"/>
      <c r="D223" s="485"/>
      <c r="E223" s="485"/>
      <c r="F223" s="485"/>
      <c r="G223" s="486"/>
      <c r="H223" s="356"/>
      <c r="I223" s="157" t="s">
        <v>10</v>
      </c>
      <c r="T223" s="86"/>
    </row>
    <row r="224" spans="1:20" ht="12.75" customHeight="1" x14ac:dyDescent="0.2">
      <c r="A224" s="267" t="s">
        <v>313</v>
      </c>
      <c r="B224" s="268"/>
      <c r="C224" s="268"/>
      <c r="D224" s="268"/>
      <c r="E224" s="268"/>
      <c r="F224" s="268"/>
      <c r="G224" s="269"/>
      <c r="H224" s="355"/>
      <c r="I224" s="157" t="s">
        <v>10</v>
      </c>
      <c r="T224" s="86"/>
    </row>
    <row r="225" spans="1:20" ht="26.1" customHeight="1" x14ac:dyDescent="0.2">
      <c r="A225" s="484" t="s">
        <v>314</v>
      </c>
      <c r="B225" s="485"/>
      <c r="C225" s="485"/>
      <c r="D225" s="485"/>
      <c r="E225" s="485"/>
      <c r="F225" s="485"/>
      <c r="G225" s="486"/>
      <c r="H225" s="356"/>
      <c r="I225" s="157" t="s">
        <v>10</v>
      </c>
      <c r="T225" s="86"/>
    </row>
    <row r="226" spans="1:20" ht="27.6" customHeight="1" thickBot="1" x14ac:dyDescent="0.25">
      <c r="A226" s="622" t="s">
        <v>315</v>
      </c>
      <c r="B226" s="623"/>
      <c r="C226" s="623"/>
      <c r="D226" s="623"/>
      <c r="E226" s="623"/>
      <c r="F226" s="623"/>
      <c r="G226" s="624"/>
      <c r="H226" s="357"/>
      <c r="I226" s="158" t="s">
        <v>10</v>
      </c>
      <c r="T226" s="86"/>
    </row>
    <row r="227" spans="1:20" ht="12.75" customHeight="1" x14ac:dyDescent="0.2">
      <c r="A227" s="91"/>
      <c r="T227" s="86"/>
    </row>
    <row r="228" spans="1:20" ht="12.75" customHeight="1" thickBot="1" x14ac:dyDescent="0.25">
      <c r="A228" s="91"/>
      <c r="T228" s="86"/>
    </row>
    <row r="229" spans="1:20" ht="12.75" customHeight="1" x14ac:dyDescent="0.2">
      <c r="A229" s="625" t="s">
        <v>316</v>
      </c>
      <c r="B229" s="626"/>
      <c r="C229" s="626"/>
      <c r="D229" s="626"/>
      <c r="E229" s="626"/>
      <c r="F229" s="626"/>
      <c r="G229" s="626"/>
      <c r="H229" s="626"/>
      <c r="I229" s="627"/>
      <c r="T229" s="86"/>
    </row>
    <row r="230" spans="1:20" ht="12.75" customHeight="1" x14ac:dyDescent="0.2">
      <c r="A230" s="91" t="s">
        <v>1346</v>
      </c>
      <c r="I230" s="156" t="s">
        <v>10</v>
      </c>
      <c r="T230" s="86"/>
    </row>
    <row r="231" spans="1:20" ht="14.25" customHeight="1" x14ac:dyDescent="0.2">
      <c r="A231" s="611" t="s">
        <v>317</v>
      </c>
      <c r="B231" s="612"/>
      <c r="C231" s="612"/>
      <c r="D231" s="612"/>
      <c r="E231" s="612"/>
      <c r="F231" s="612"/>
      <c r="G231" s="613"/>
      <c r="H231" s="358"/>
      <c r="I231" s="156" t="s">
        <v>10</v>
      </c>
      <c r="T231" s="86"/>
    </row>
    <row r="232" spans="1:20" x14ac:dyDescent="0.2">
      <c r="A232" s="484" t="s">
        <v>318</v>
      </c>
      <c r="B232" s="485"/>
      <c r="C232" s="485"/>
      <c r="D232" s="485"/>
      <c r="E232" s="485"/>
      <c r="F232" s="485"/>
      <c r="G232" s="486"/>
      <c r="H232" s="336"/>
      <c r="I232" s="157" t="s">
        <v>10</v>
      </c>
      <c r="T232" s="86"/>
    </row>
    <row r="233" spans="1:20" x14ac:dyDescent="0.2">
      <c r="A233" s="484" t="s">
        <v>319</v>
      </c>
      <c r="B233" s="485"/>
      <c r="C233" s="485"/>
      <c r="D233" s="485"/>
      <c r="E233" s="485"/>
      <c r="F233" s="485"/>
      <c r="G233" s="486"/>
      <c r="H233" s="336"/>
      <c r="I233" s="157" t="s">
        <v>10</v>
      </c>
      <c r="T233" s="86"/>
    </row>
    <row r="234" spans="1:20" x14ac:dyDescent="0.2">
      <c r="A234" s="611" t="s">
        <v>320</v>
      </c>
      <c r="B234" s="612"/>
      <c r="C234" s="612"/>
      <c r="D234" s="612"/>
      <c r="E234" s="612"/>
      <c r="F234" s="612"/>
      <c r="G234" s="613"/>
      <c r="H234" s="268"/>
      <c r="I234" s="157" t="s">
        <v>10</v>
      </c>
      <c r="T234" s="86"/>
    </row>
    <row r="235" spans="1:20" x14ac:dyDescent="0.2">
      <c r="A235" s="484" t="s">
        <v>321</v>
      </c>
      <c r="B235" s="485"/>
      <c r="C235" s="485"/>
      <c r="D235" s="485"/>
      <c r="E235" s="485"/>
      <c r="F235" s="485"/>
      <c r="G235" s="486"/>
      <c r="H235" s="336"/>
      <c r="I235" s="157" t="s">
        <v>1168</v>
      </c>
      <c r="T235" s="86"/>
    </row>
    <row r="236" spans="1:20" x14ac:dyDescent="0.2">
      <c r="A236" s="484" t="s">
        <v>322</v>
      </c>
      <c r="B236" s="485"/>
      <c r="C236" s="485"/>
      <c r="D236" s="485"/>
      <c r="E236" s="485"/>
      <c r="F236" s="485"/>
      <c r="G236" s="486"/>
      <c r="H236" s="336"/>
      <c r="I236" s="157" t="s">
        <v>13</v>
      </c>
      <c r="T236" s="86"/>
    </row>
    <row r="237" spans="1:20" x14ac:dyDescent="0.2">
      <c r="A237" s="484" t="s">
        <v>1345</v>
      </c>
      <c r="B237" s="485"/>
      <c r="C237" s="485"/>
      <c r="D237" s="485"/>
      <c r="E237" s="485"/>
      <c r="F237" s="485"/>
      <c r="G237" s="486"/>
      <c r="H237" s="336"/>
      <c r="I237" s="157" t="s">
        <v>13</v>
      </c>
      <c r="T237" s="86"/>
    </row>
    <row r="238" spans="1:20" x14ac:dyDescent="0.2">
      <c r="A238" s="484" t="s">
        <v>1353</v>
      </c>
      <c r="B238" s="485"/>
      <c r="C238" s="485"/>
      <c r="D238" s="485"/>
      <c r="E238" s="485"/>
      <c r="F238" s="485"/>
      <c r="G238" s="486"/>
      <c r="H238" s="336"/>
      <c r="I238" s="157" t="s">
        <v>13</v>
      </c>
      <c r="T238" s="86"/>
    </row>
    <row r="239" spans="1:20" ht="13.9" customHeight="1" x14ac:dyDescent="0.2">
      <c r="A239" s="484" t="s">
        <v>1354</v>
      </c>
      <c r="B239" s="485"/>
      <c r="C239" s="485"/>
      <c r="D239" s="485"/>
      <c r="E239" s="485"/>
      <c r="F239" s="485"/>
      <c r="G239" s="486"/>
      <c r="H239" s="336"/>
      <c r="I239" s="157" t="s">
        <v>13</v>
      </c>
      <c r="T239" s="86"/>
    </row>
    <row r="240" spans="1:20" ht="13.5" thickBot="1" x14ac:dyDescent="0.25">
      <c r="A240" s="92" t="s">
        <v>1355</v>
      </c>
      <c r="B240" s="7"/>
      <c r="C240" s="7"/>
      <c r="D240" s="7"/>
      <c r="E240" s="7"/>
      <c r="F240" s="7"/>
      <c r="G240" s="7"/>
      <c r="H240" s="7"/>
      <c r="I240" s="158" t="s">
        <v>10</v>
      </c>
    </row>
    <row r="241" spans="1:19" ht="13.5" thickBot="1" x14ac:dyDescent="0.25"/>
    <row r="242" spans="1:19" ht="15.75" x14ac:dyDescent="0.25">
      <c r="A242" s="95" t="s">
        <v>216</v>
      </c>
      <c r="B242" s="96"/>
      <c r="C242" s="96"/>
      <c r="D242" s="96"/>
      <c r="E242" s="96"/>
      <c r="F242" s="96"/>
      <c r="G242" s="96"/>
      <c r="H242" s="96"/>
      <c r="I242" s="96"/>
      <c r="J242" s="96"/>
      <c r="K242" s="96"/>
      <c r="L242" s="75"/>
      <c r="M242" s="75"/>
      <c r="N242" s="75"/>
      <c r="O242" s="75"/>
      <c r="P242" s="75"/>
      <c r="Q242" s="75"/>
      <c r="R242" s="75"/>
      <c r="S242" s="97"/>
    </row>
    <row r="243" spans="1:19" x14ac:dyDescent="0.2">
      <c r="A243" s="90" t="s">
        <v>217</v>
      </c>
      <c r="B243" s="283">
        <v>1</v>
      </c>
      <c r="D243" s="3" t="s">
        <v>218</v>
      </c>
      <c r="E243" s="3"/>
      <c r="F243" s="283">
        <v>0</v>
      </c>
      <c r="G243" s="3" t="s">
        <v>219</v>
      </c>
      <c r="H243" s="3"/>
      <c r="I243" s="283">
        <v>0</v>
      </c>
      <c r="S243" s="86"/>
    </row>
    <row r="244" spans="1:19" x14ac:dyDescent="0.2">
      <c r="A244" s="90" t="s">
        <v>220</v>
      </c>
      <c r="D244" s="3" t="s">
        <v>221</v>
      </c>
      <c r="E244" s="3"/>
      <c r="F244" s="283">
        <v>0</v>
      </c>
      <c r="G244" s="3" t="s">
        <v>222</v>
      </c>
      <c r="H244" s="3"/>
      <c r="I244" s="283">
        <v>0</v>
      </c>
      <c r="S244" s="86"/>
    </row>
    <row r="245" spans="1:19" x14ac:dyDescent="0.2">
      <c r="A245" s="90" t="s">
        <v>223</v>
      </c>
      <c r="B245" s="12"/>
      <c r="C245" s="283" t="s">
        <v>428</v>
      </c>
      <c r="D245" s="283"/>
      <c r="E245" s="70"/>
      <c r="L245" s="43"/>
      <c r="M245" s="43"/>
      <c r="N245" s="43"/>
      <c r="O245" s="43"/>
      <c r="P245" s="43"/>
      <c r="Q245" s="43"/>
      <c r="R245" s="43"/>
      <c r="S245" s="86"/>
    </row>
    <row r="246" spans="1:19" x14ac:dyDescent="0.2">
      <c r="A246" s="90"/>
      <c r="B246" s="12"/>
      <c r="C246" s="6"/>
      <c r="D246" s="6"/>
      <c r="E246" s="6"/>
      <c r="L246" s="43"/>
      <c r="M246" s="43"/>
      <c r="N246" s="43"/>
      <c r="O246" s="43"/>
      <c r="P246" s="43"/>
      <c r="Q246" s="43"/>
      <c r="R246" s="43"/>
      <c r="S246" s="86"/>
    </row>
    <row r="247" spans="1:19" ht="25.5" x14ac:dyDescent="0.2">
      <c r="A247" s="60" t="s">
        <v>225</v>
      </c>
      <c r="B247" s="283" t="s">
        <v>13</v>
      </c>
      <c r="D247" s="3"/>
      <c r="E247" s="3"/>
      <c r="I247" s="3"/>
      <c r="S247" s="86"/>
    </row>
    <row r="248" spans="1:19" x14ac:dyDescent="0.2">
      <c r="I248" s="490" t="s">
        <v>226</v>
      </c>
      <c r="J248" s="491"/>
      <c r="K248" s="491"/>
      <c r="L248" s="491"/>
      <c r="M248" s="491"/>
      <c r="N248" s="491"/>
      <c r="O248" s="491"/>
      <c r="P248" s="491"/>
      <c r="Q248" s="491"/>
      <c r="R248" s="492"/>
      <c r="S248" s="86"/>
    </row>
    <row r="249" spans="1:19" ht="27" customHeight="1" x14ac:dyDescent="0.2">
      <c r="A249" s="284"/>
      <c r="B249" s="285"/>
      <c r="C249" s="98" t="s">
        <v>227</v>
      </c>
      <c r="D249" s="98" t="s">
        <v>228</v>
      </c>
      <c r="E249" s="350"/>
      <c r="F249" s="99"/>
      <c r="G249" s="3"/>
      <c r="H249" s="3"/>
      <c r="I249" s="590" t="s">
        <v>1075</v>
      </c>
      <c r="J249" s="591"/>
      <c r="K249" s="591"/>
      <c r="L249" s="591"/>
      <c r="M249" s="591"/>
      <c r="N249" s="591"/>
      <c r="O249" s="591"/>
      <c r="P249" s="283" t="s">
        <v>10</v>
      </c>
      <c r="Q249" s="6"/>
      <c r="R249" s="100"/>
      <c r="S249" s="86"/>
    </row>
    <row r="250" spans="1:19" x14ac:dyDescent="0.2">
      <c r="A250" s="36" t="s">
        <v>229</v>
      </c>
      <c r="B250" s="392"/>
      <c r="C250" s="101">
        <v>8</v>
      </c>
      <c r="D250" s="101">
        <v>8</v>
      </c>
      <c r="E250" s="351"/>
      <c r="G250" s="32"/>
      <c r="H250" s="32"/>
      <c r="I250" s="588" t="s">
        <v>230</v>
      </c>
      <c r="J250" s="589"/>
      <c r="K250" s="589"/>
      <c r="L250" s="589"/>
      <c r="M250" s="589"/>
      <c r="N250" s="589"/>
      <c r="O250" s="589"/>
      <c r="P250" s="283" t="s">
        <v>10</v>
      </c>
      <c r="Q250" s="6"/>
      <c r="R250" s="100"/>
      <c r="S250" s="86"/>
    </row>
    <row r="251" spans="1:19" x14ac:dyDescent="0.2">
      <c r="A251" s="102" t="s">
        <v>231</v>
      </c>
      <c r="B251" s="103"/>
      <c r="C251" s="101">
        <v>40</v>
      </c>
      <c r="D251" s="101">
        <v>40</v>
      </c>
      <c r="E251" s="351"/>
      <c r="G251" s="3"/>
      <c r="H251" s="3"/>
      <c r="I251" s="584" t="s">
        <v>232</v>
      </c>
      <c r="J251" s="585"/>
      <c r="K251" s="585"/>
      <c r="L251" s="585"/>
      <c r="M251" s="585"/>
      <c r="N251" s="585"/>
      <c r="O251" s="585"/>
      <c r="P251" s="283" t="s">
        <v>10</v>
      </c>
      <c r="Q251" s="6"/>
      <c r="R251" s="100"/>
      <c r="S251" s="86"/>
    </row>
    <row r="252" spans="1:19" ht="13.5" thickBot="1" x14ac:dyDescent="0.25">
      <c r="G252" s="3"/>
      <c r="H252" s="3"/>
      <c r="I252" s="586" t="s">
        <v>1347</v>
      </c>
      <c r="J252" s="587"/>
      <c r="K252" s="587"/>
      <c r="L252" s="587"/>
      <c r="M252" s="587"/>
      <c r="N252" s="587"/>
      <c r="O252" s="587"/>
      <c r="P252" s="283" t="s">
        <v>10</v>
      </c>
      <c r="Q252" s="6"/>
      <c r="R252" s="100"/>
      <c r="S252" s="86"/>
    </row>
    <row r="253" spans="1:19" ht="15" customHeight="1" x14ac:dyDescent="0.2">
      <c r="A253" s="660" t="s">
        <v>233</v>
      </c>
      <c r="B253" s="661"/>
      <c r="C253" s="661"/>
      <c r="D253" s="661"/>
      <c r="E253" s="661"/>
      <c r="F253" s="662"/>
      <c r="G253" s="3"/>
      <c r="H253" s="3"/>
      <c r="I253" s="132" t="s">
        <v>234</v>
      </c>
      <c r="J253" s="12"/>
      <c r="K253" s="12"/>
      <c r="L253" s="12"/>
      <c r="M253" s="12"/>
      <c r="N253" s="12"/>
      <c r="O253" s="12"/>
      <c r="P253" s="283" t="s">
        <v>10</v>
      </c>
      <c r="Q253" s="6"/>
      <c r="R253" s="100"/>
      <c r="S253" s="86"/>
    </row>
    <row r="254" spans="1:19" ht="12.75" customHeight="1" x14ac:dyDescent="0.2">
      <c r="F254" s="104"/>
      <c r="I254" s="584" t="s">
        <v>235</v>
      </c>
      <c r="J254" s="585"/>
      <c r="K254" s="585"/>
      <c r="L254" s="585"/>
      <c r="M254" s="585"/>
      <c r="N254" s="585"/>
      <c r="O254" s="585"/>
      <c r="P254" s="283" t="s">
        <v>10</v>
      </c>
      <c r="Q254" s="6"/>
      <c r="R254" s="100"/>
      <c r="S254" s="86"/>
    </row>
    <row r="255" spans="1:19" x14ac:dyDescent="0.2">
      <c r="A255" s="90" t="s">
        <v>236</v>
      </c>
      <c r="B255" s="283" t="s">
        <v>10</v>
      </c>
      <c r="C255" s="12" t="s">
        <v>1086</v>
      </c>
      <c r="D255" s="283">
        <v>25</v>
      </c>
      <c r="E255" s="70"/>
      <c r="F255" s="104"/>
      <c r="I255" s="595" t="s">
        <v>237</v>
      </c>
      <c r="J255" s="596"/>
      <c r="K255" s="596"/>
      <c r="L255" s="596"/>
      <c r="M255" s="596"/>
      <c r="N255" s="596"/>
      <c r="O255" s="596"/>
      <c r="P255" s="283" t="s">
        <v>10</v>
      </c>
      <c r="Q255" s="6"/>
      <c r="R255" s="100"/>
      <c r="S255" s="86"/>
    </row>
    <row r="256" spans="1:19" x14ac:dyDescent="0.2">
      <c r="A256" s="90" t="s">
        <v>238</v>
      </c>
      <c r="B256" s="283" t="s">
        <v>10</v>
      </c>
      <c r="C256" s="12" t="s">
        <v>1085</v>
      </c>
      <c r="D256" s="283">
        <v>65</v>
      </c>
      <c r="E256" s="70"/>
      <c r="F256" s="104"/>
      <c r="I256" s="490" t="s">
        <v>239</v>
      </c>
      <c r="J256" s="491"/>
      <c r="K256" s="491"/>
      <c r="L256" s="491"/>
      <c r="M256" s="491"/>
      <c r="N256" s="491"/>
      <c r="O256" s="491"/>
      <c r="P256" s="491"/>
      <c r="Q256" s="491"/>
      <c r="R256" s="492"/>
      <c r="S256" s="86"/>
    </row>
    <row r="257" spans="1:20" ht="28.9" customHeight="1" x14ac:dyDescent="0.2">
      <c r="A257" s="90" t="s">
        <v>240</v>
      </c>
      <c r="B257" s="283" t="s">
        <v>10</v>
      </c>
      <c r="C257" s="12"/>
      <c r="D257" s="58"/>
      <c r="E257" s="58"/>
      <c r="F257" s="104"/>
      <c r="G257" s="106"/>
      <c r="H257" s="106"/>
      <c r="I257" s="488" t="s">
        <v>241</v>
      </c>
      <c r="J257" s="489"/>
      <c r="K257" s="489"/>
      <c r="L257" s="489"/>
      <c r="M257" s="489"/>
      <c r="N257" s="489"/>
      <c r="O257" s="489"/>
      <c r="P257" s="39"/>
      <c r="Q257" s="39"/>
      <c r="R257" s="107"/>
      <c r="S257" s="86"/>
    </row>
    <row r="258" spans="1:20" x14ac:dyDescent="0.2">
      <c r="A258" s="90" t="s">
        <v>242</v>
      </c>
      <c r="B258" s="283" t="s">
        <v>10</v>
      </c>
      <c r="C258" s="12"/>
      <c r="D258" s="12"/>
      <c r="E258" s="12"/>
      <c r="F258" s="104"/>
      <c r="G258" s="106"/>
      <c r="H258" s="106"/>
      <c r="I258" s="139" t="s">
        <v>243</v>
      </c>
      <c r="P258" s="283"/>
      <c r="Q258" s="6"/>
      <c r="R258" s="100"/>
      <c r="S258" s="86"/>
    </row>
    <row r="259" spans="1:20" x14ac:dyDescent="0.2">
      <c r="A259" s="90" t="s">
        <v>244</v>
      </c>
      <c r="B259" s="283" t="s">
        <v>10</v>
      </c>
      <c r="C259" s="12"/>
      <c r="D259" s="58"/>
      <c r="E259" s="58"/>
      <c r="F259" s="104"/>
      <c r="G259" s="106"/>
      <c r="H259" s="106"/>
      <c r="I259" s="139"/>
      <c r="P259" s="5"/>
      <c r="Q259" s="5"/>
      <c r="R259" s="100"/>
      <c r="S259" s="86"/>
    </row>
    <row r="260" spans="1:20" x14ac:dyDescent="0.2">
      <c r="A260" s="90" t="s">
        <v>245</v>
      </c>
      <c r="B260" s="283" t="s">
        <v>10</v>
      </c>
      <c r="C260" s="105"/>
      <c r="D260" s="12"/>
      <c r="E260" s="12"/>
      <c r="F260" s="104"/>
      <c r="G260" s="106"/>
      <c r="H260" s="106"/>
      <c r="I260" s="139" t="s">
        <v>246</v>
      </c>
      <c r="L260" s="108"/>
      <c r="M260" s="108"/>
      <c r="N260" s="108"/>
      <c r="O260" s="108"/>
      <c r="P260" s="109"/>
      <c r="Q260" s="109"/>
      <c r="R260" s="100"/>
      <c r="S260" s="86"/>
    </row>
    <row r="261" spans="1:20" x14ac:dyDescent="0.2">
      <c r="A261" s="90" t="s">
        <v>247</v>
      </c>
      <c r="B261" s="283" t="s">
        <v>10</v>
      </c>
      <c r="C261" s="105"/>
      <c r="D261" s="12"/>
      <c r="E261" s="12"/>
      <c r="F261" s="104"/>
      <c r="G261" s="11"/>
      <c r="H261" s="11"/>
      <c r="I261" s="139"/>
      <c r="P261" s="5"/>
      <c r="Q261" s="5"/>
      <c r="R261" s="100"/>
      <c r="S261" s="86"/>
    </row>
    <row r="262" spans="1:20" x14ac:dyDescent="0.2">
      <c r="A262" s="90" t="s">
        <v>248</v>
      </c>
      <c r="B262" s="283" t="s">
        <v>10</v>
      </c>
      <c r="C262" s="105"/>
      <c r="D262" s="12"/>
      <c r="E262" s="12"/>
      <c r="F262" s="104"/>
      <c r="G262" s="11"/>
      <c r="H262" s="11"/>
      <c r="I262" s="110"/>
      <c r="J262" s="111"/>
      <c r="K262" s="111"/>
      <c r="L262" s="111"/>
      <c r="M262" s="111"/>
      <c r="N262" s="111"/>
      <c r="O262" s="111"/>
      <c r="P262" s="112"/>
      <c r="Q262" s="112"/>
      <c r="R262" s="113"/>
      <c r="S262" s="86"/>
    </row>
    <row r="263" spans="1:20" ht="13.5" thickBot="1" x14ac:dyDescent="0.25">
      <c r="A263" s="92"/>
      <c r="B263" s="7"/>
      <c r="C263" s="114"/>
      <c r="D263" s="114"/>
      <c r="E263" s="114"/>
      <c r="F263" s="115"/>
      <c r="G263" s="11"/>
      <c r="H263" s="11"/>
      <c r="P263" s="5"/>
      <c r="Q263" s="5"/>
      <c r="R263" s="5"/>
      <c r="S263" s="86"/>
    </row>
    <row r="264" spans="1:20" x14ac:dyDescent="0.2">
      <c r="F264" s="12"/>
      <c r="G264" s="11"/>
      <c r="H264" s="11"/>
      <c r="P264" s="5"/>
      <c r="Q264" s="5"/>
      <c r="R264" s="5"/>
      <c r="S264" s="86"/>
    </row>
    <row r="265" spans="1:20" ht="13.5" thickBot="1" x14ac:dyDescent="0.25">
      <c r="A265" s="116"/>
      <c r="B265" s="114"/>
      <c r="C265" s="7"/>
      <c r="D265" s="117"/>
      <c r="E265" s="117"/>
      <c r="F265" s="117"/>
      <c r="G265" s="117"/>
      <c r="H265" s="117"/>
      <c r="I265" s="117"/>
      <c r="J265" s="7"/>
      <c r="K265" s="7"/>
      <c r="L265" s="7"/>
      <c r="M265" s="7"/>
      <c r="N265" s="7"/>
      <c r="O265" s="7"/>
      <c r="P265" s="7"/>
      <c r="Q265" s="7"/>
      <c r="R265" s="7"/>
      <c r="S265" s="93"/>
    </row>
    <row r="266" spans="1:20" ht="15.75" x14ac:dyDescent="0.25">
      <c r="A266" s="96" t="s">
        <v>982</v>
      </c>
      <c r="B266" s="118"/>
      <c r="C266" s="75"/>
      <c r="D266" s="75"/>
      <c r="E266" s="75"/>
      <c r="F266" s="75"/>
      <c r="G266" s="75"/>
      <c r="H266" s="75"/>
      <c r="I266" s="75"/>
      <c r="J266" s="75"/>
      <c r="K266" s="75"/>
      <c r="L266" s="75"/>
      <c r="M266" s="75"/>
      <c r="N266" s="75"/>
      <c r="O266" s="75"/>
      <c r="P266" s="75"/>
      <c r="Q266" s="75"/>
      <c r="R266" s="75"/>
      <c r="S266" s="75"/>
    </row>
    <row r="267" spans="1:20" ht="13.5" thickBot="1" x14ac:dyDescent="0.25">
      <c r="A267" s="15"/>
      <c r="B267" s="12"/>
    </row>
    <row r="268" spans="1:20" ht="14.25" customHeight="1" x14ac:dyDescent="0.2">
      <c r="A268" s="625" t="s">
        <v>249</v>
      </c>
      <c r="B268" s="626"/>
      <c r="C268" s="626"/>
      <c r="D268" s="626"/>
      <c r="E268" s="626"/>
      <c r="F268" s="626"/>
      <c r="G268" s="626"/>
      <c r="H268" s="338"/>
      <c r="I268" s="270"/>
      <c r="O268" s="5"/>
    </row>
    <row r="269" spans="1:20" x14ac:dyDescent="0.2">
      <c r="A269" s="281" t="s">
        <v>250</v>
      </c>
      <c r="B269" s="3"/>
      <c r="C269" s="283" t="s">
        <v>10</v>
      </c>
      <c r="D269" s="12" t="s">
        <v>251</v>
      </c>
      <c r="E269" s="12"/>
      <c r="F269" s="3"/>
      <c r="G269" s="3"/>
      <c r="H269" s="3"/>
      <c r="I269" s="119" t="s">
        <v>10</v>
      </c>
      <c r="O269" s="6"/>
    </row>
    <row r="270" spans="1:20" ht="13.5" thickBot="1" x14ac:dyDescent="0.25">
      <c r="A270" s="278" t="s">
        <v>252</v>
      </c>
      <c r="B270" s="279"/>
      <c r="C270" s="120" t="s">
        <v>10</v>
      </c>
      <c r="D270" s="114" t="s">
        <v>253</v>
      </c>
      <c r="E270" s="114"/>
      <c r="F270" s="279"/>
      <c r="G270" s="279"/>
      <c r="H270" s="279"/>
      <c r="I270" s="121" t="s">
        <v>10</v>
      </c>
      <c r="O270" s="282"/>
      <c r="P270" s="282"/>
      <c r="Q270" s="282"/>
      <c r="R270" s="282"/>
    </row>
    <row r="271" spans="1:20" x14ac:dyDescent="0.2">
      <c r="A271" s="122"/>
      <c r="B271" s="45"/>
      <c r="C271" s="45"/>
      <c r="D271" s="45"/>
      <c r="E271" s="45"/>
      <c r="F271" s="45"/>
      <c r="G271" s="45"/>
      <c r="H271" s="45"/>
      <c r="I271" s="45"/>
      <c r="O271" s="282"/>
      <c r="P271" s="282"/>
      <c r="Q271" s="282"/>
      <c r="R271" s="282"/>
    </row>
    <row r="272" spans="1:20" customFormat="1" ht="39" customHeight="1" x14ac:dyDescent="0.25">
      <c r="A272" s="643" t="s">
        <v>254</v>
      </c>
      <c r="B272" s="644"/>
      <c r="C272" s="645"/>
      <c r="D272" s="280" t="s">
        <v>255</v>
      </c>
      <c r="E272" s="342"/>
      <c r="F272" s="643" t="s">
        <v>1087</v>
      </c>
      <c r="G272" s="644"/>
      <c r="H272" s="644"/>
      <c r="I272" s="644"/>
      <c r="J272" s="645"/>
      <c r="K272" s="343"/>
      <c r="L272" s="280" t="s">
        <v>256</v>
      </c>
      <c r="M272" s="280"/>
      <c r="N272" s="280"/>
      <c r="O272" s="280" t="s">
        <v>257</v>
      </c>
      <c r="P272" s="667" t="s">
        <v>258</v>
      </c>
      <c r="Q272" s="668"/>
      <c r="R272" s="668"/>
      <c r="S272" s="668"/>
      <c r="T272" s="669"/>
    </row>
    <row r="273" spans="1:20" customFormat="1" ht="15" x14ac:dyDescent="0.25">
      <c r="A273" s="657" t="s">
        <v>259</v>
      </c>
      <c r="B273" s="658"/>
      <c r="C273" s="659"/>
      <c r="D273" s="123" t="s">
        <v>13</v>
      </c>
      <c r="E273" s="352"/>
      <c r="F273" s="481"/>
      <c r="G273" s="482"/>
      <c r="H273" s="482"/>
      <c r="I273" s="482"/>
      <c r="J273" s="483"/>
      <c r="K273" s="340"/>
      <c r="L273" s="123"/>
      <c r="M273" s="123"/>
      <c r="N273" s="123"/>
      <c r="O273" s="124"/>
      <c r="P273" s="481"/>
      <c r="Q273" s="482"/>
      <c r="R273" s="482"/>
      <c r="S273" s="482"/>
      <c r="T273" s="483"/>
    </row>
    <row r="274" spans="1:20" x14ac:dyDescent="0.2">
      <c r="A274" s="657" t="s">
        <v>260</v>
      </c>
      <c r="B274" s="658"/>
      <c r="C274" s="659"/>
      <c r="D274" s="123" t="s">
        <v>13</v>
      </c>
      <c r="E274" s="352"/>
      <c r="F274" s="481"/>
      <c r="G274" s="482"/>
      <c r="H274" s="482"/>
      <c r="I274" s="482"/>
      <c r="J274" s="483"/>
      <c r="K274" s="340"/>
      <c r="L274" s="123"/>
      <c r="M274" s="123"/>
      <c r="N274" s="123"/>
      <c r="O274" s="124"/>
      <c r="P274" s="481"/>
      <c r="Q274" s="482"/>
      <c r="R274" s="482"/>
      <c r="S274" s="482"/>
      <c r="T274" s="483"/>
    </row>
    <row r="275" spans="1:20" x14ac:dyDescent="0.2">
      <c r="A275" s="637" t="s">
        <v>261</v>
      </c>
      <c r="B275" s="638"/>
      <c r="C275" s="639"/>
      <c r="D275" s="123" t="s">
        <v>10</v>
      </c>
      <c r="E275" s="352"/>
      <c r="F275" s="481" t="s">
        <v>1390</v>
      </c>
      <c r="G275" s="482"/>
      <c r="H275" s="482"/>
      <c r="I275" s="482"/>
      <c r="J275" s="483"/>
      <c r="K275" s="340"/>
      <c r="L275" s="123"/>
      <c r="M275" s="123"/>
      <c r="N275" s="123"/>
      <c r="O275" s="124">
        <v>1</v>
      </c>
      <c r="P275" s="481"/>
      <c r="Q275" s="482"/>
      <c r="R275" s="482"/>
      <c r="S275" s="482"/>
      <c r="T275" s="483"/>
    </row>
    <row r="276" spans="1:20" x14ac:dyDescent="0.2">
      <c r="A276" s="478" t="s">
        <v>1375</v>
      </c>
      <c r="B276" s="479"/>
      <c r="C276" s="480"/>
      <c r="D276" s="123" t="s">
        <v>13</v>
      </c>
      <c r="E276" s="352"/>
      <c r="F276" s="481"/>
      <c r="G276" s="482"/>
      <c r="H276" s="482"/>
      <c r="I276" s="482"/>
      <c r="J276" s="483"/>
      <c r="K276" s="340"/>
      <c r="L276" s="123"/>
      <c r="M276" s="123"/>
      <c r="N276" s="123"/>
      <c r="O276" s="124"/>
      <c r="P276" s="481"/>
      <c r="Q276" s="482"/>
      <c r="R276" s="482"/>
      <c r="S276" s="482"/>
      <c r="T276" s="483"/>
    </row>
    <row r="277" spans="1:20" x14ac:dyDescent="0.2">
      <c r="A277" s="637" t="s">
        <v>262</v>
      </c>
      <c r="B277" s="638"/>
      <c r="C277" s="639"/>
      <c r="D277" s="123" t="s">
        <v>13</v>
      </c>
      <c r="E277" s="352"/>
      <c r="F277" s="481"/>
      <c r="G277" s="482"/>
      <c r="H277" s="482"/>
      <c r="I277" s="482"/>
      <c r="J277" s="483"/>
      <c r="K277" s="340"/>
      <c r="L277" s="123"/>
      <c r="M277" s="123"/>
      <c r="N277" s="123"/>
      <c r="O277" s="124"/>
      <c r="P277" s="481"/>
      <c r="Q277" s="482"/>
      <c r="R277" s="482"/>
      <c r="S277" s="482"/>
      <c r="T277" s="483"/>
    </row>
    <row r="278" spans="1:20" x14ac:dyDescent="0.2">
      <c r="A278" s="637" t="s">
        <v>263</v>
      </c>
      <c r="B278" s="638"/>
      <c r="C278" s="639"/>
      <c r="D278" s="123" t="s">
        <v>10</v>
      </c>
      <c r="E278" s="352"/>
      <c r="F278" s="481" t="s">
        <v>1391</v>
      </c>
      <c r="G278" s="482"/>
      <c r="H278" s="482"/>
      <c r="I278" s="482"/>
      <c r="J278" s="483"/>
      <c r="K278" s="340"/>
      <c r="L278" s="123"/>
      <c r="M278" s="123"/>
      <c r="N278" s="123"/>
      <c r="O278" s="124">
        <v>1</v>
      </c>
      <c r="P278" s="481"/>
      <c r="Q278" s="482"/>
      <c r="R278" s="482"/>
      <c r="S278" s="482"/>
      <c r="T278" s="483"/>
    </row>
    <row r="279" spans="1:20" x14ac:dyDescent="0.2">
      <c r="A279" s="637" t="s">
        <v>264</v>
      </c>
      <c r="B279" s="638"/>
      <c r="C279" s="639"/>
      <c r="D279" s="123" t="s">
        <v>13</v>
      </c>
      <c r="E279" s="352"/>
      <c r="F279" s="481"/>
      <c r="G279" s="482"/>
      <c r="H279" s="482"/>
      <c r="I279" s="482"/>
      <c r="J279" s="483"/>
      <c r="K279" s="340"/>
      <c r="L279" s="123"/>
      <c r="M279" s="123"/>
      <c r="N279" s="123"/>
      <c r="O279" s="124"/>
      <c r="P279" s="481"/>
      <c r="Q279" s="482"/>
      <c r="R279" s="482"/>
      <c r="S279" s="482"/>
      <c r="T279" s="483"/>
    </row>
    <row r="280" spans="1:20" ht="14.25" customHeight="1" x14ac:dyDescent="0.2">
      <c r="A280" s="637" t="s">
        <v>265</v>
      </c>
      <c r="B280" s="638"/>
      <c r="C280" s="639"/>
      <c r="D280" s="123" t="s">
        <v>13</v>
      </c>
      <c r="E280" s="352"/>
      <c r="F280" s="481"/>
      <c r="G280" s="482"/>
      <c r="H280" s="482"/>
      <c r="I280" s="482"/>
      <c r="J280" s="483"/>
      <c r="K280" s="340"/>
      <c r="L280" s="123"/>
      <c r="M280" s="123"/>
      <c r="N280" s="123"/>
      <c r="O280" s="124"/>
      <c r="P280" s="481"/>
      <c r="Q280" s="482"/>
      <c r="R280" s="482"/>
      <c r="S280" s="482"/>
      <c r="T280" s="483"/>
    </row>
    <row r="281" spans="1:20" x14ac:dyDescent="0.2">
      <c r="A281" s="478" t="s">
        <v>1351</v>
      </c>
      <c r="B281" s="479"/>
      <c r="C281" s="480"/>
      <c r="D281" s="123" t="s">
        <v>13</v>
      </c>
      <c r="E281" s="352"/>
      <c r="F281" s="481"/>
      <c r="G281" s="482"/>
      <c r="H281" s="482"/>
      <c r="I281" s="482"/>
      <c r="J281" s="483"/>
      <c r="K281" s="340"/>
      <c r="L281" s="123"/>
      <c r="M281" s="123"/>
      <c r="N281" s="123"/>
      <c r="O281" s="124"/>
      <c r="P281" s="481"/>
      <c r="Q281" s="482"/>
      <c r="R281" s="482"/>
      <c r="S281" s="482"/>
      <c r="T281" s="483"/>
    </row>
    <row r="282" spans="1:20" x14ac:dyDescent="0.2">
      <c r="A282" s="637" t="s">
        <v>266</v>
      </c>
      <c r="B282" s="638"/>
      <c r="C282" s="639"/>
      <c r="D282" s="123" t="s">
        <v>13</v>
      </c>
      <c r="E282" s="352"/>
      <c r="F282" s="481"/>
      <c r="G282" s="482"/>
      <c r="H282" s="482"/>
      <c r="I282" s="482"/>
      <c r="J282" s="483"/>
      <c r="K282" s="340"/>
      <c r="L282" s="123"/>
      <c r="M282" s="123"/>
      <c r="N282" s="123"/>
      <c r="O282" s="124"/>
      <c r="P282" s="481"/>
      <c r="Q282" s="482"/>
      <c r="R282" s="482"/>
      <c r="S282" s="482"/>
      <c r="T282" s="483"/>
    </row>
    <row r="283" spans="1:20" x14ac:dyDescent="0.2">
      <c r="A283" s="637" t="s">
        <v>267</v>
      </c>
      <c r="B283" s="638"/>
      <c r="C283" s="639"/>
      <c r="D283" s="123" t="s">
        <v>13</v>
      </c>
      <c r="E283" s="352"/>
      <c r="F283" s="481"/>
      <c r="G283" s="482"/>
      <c r="H283" s="482"/>
      <c r="I283" s="482"/>
      <c r="J283" s="483"/>
      <c r="K283" s="340"/>
      <c r="L283" s="123"/>
      <c r="M283" s="123"/>
      <c r="N283" s="123"/>
      <c r="O283" s="124"/>
      <c r="P283" s="481"/>
      <c r="Q283" s="482"/>
      <c r="R283" s="482"/>
      <c r="S283" s="482"/>
      <c r="T283" s="483"/>
    </row>
    <row r="284" spans="1:20" x14ac:dyDescent="0.2">
      <c r="A284" s="637" t="s">
        <v>268</v>
      </c>
      <c r="B284" s="638"/>
      <c r="C284" s="639"/>
      <c r="D284" s="123" t="s">
        <v>13</v>
      </c>
      <c r="E284" s="352"/>
      <c r="F284" s="481"/>
      <c r="G284" s="482"/>
      <c r="H284" s="482"/>
      <c r="I284" s="482"/>
      <c r="J284" s="483"/>
      <c r="K284" s="340"/>
      <c r="L284" s="123"/>
      <c r="M284" s="123"/>
      <c r="N284" s="123"/>
      <c r="O284" s="124"/>
      <c r="P284" s="481"/>
      <c r="Q284" s="482"/>
      <c r="R284" s="482"/>
      <c r="S284" s="482"/>
      <c r="T284" s="483"/>
    </row>
    <row r="285" spans="1:20" x14ac:dyDescent="0.2">
      <c r="A285" s="637" t="s">
        <v>269</v>
      </c>
      <c r="B285" s="638"/>
      <c r="C285" s="639"/>
      <c r="D285" s="123" t="s">
        <v>13</v>
      </c>
      <c r="E285" s="352"/>
      <c r="F285" s="481"/>
      <c r="G285" s="482"/>
      <c r="H285" s="482"/>
      <c r="I285" s="482"/>
      <c r="J285" s="483"/>
      <c r="K285" s="340"/>
      <c r="L285" s="123"/>
      <c r="M285" s="123"/>
      <c r="N285" s="123"/>
      <c r="O285" s="124"/>
      <c r="P285" s="481"/>
      <c r="Q285" s="482"/>
      <c r="R285" s="482"/>
      <c r="S285" s="482"/>
      <c r="T285" s="483"/>
    </row>
    <row r="286" spans="1:20" x14ac:dyDescent="0.2">
      <c r="A286" s="637" t="s">
        <v>270</v>
      </c>
      <c r="B286" s="638"/>
      <c r="C286" s="639"/>
      <c r="D286" s="123" t="s">
        <v>13</v>
      </c>
      <c r="E286" s="352"/>
      <c r="F286" s="481"/>
      <c r="G286" s="482"/>
      <c r="H286" s="482"/>
      <c r="I286" s="482"/>
      <c r="J286" s="483"/>
      <c r="K286" s="340"/>
      <c r="L286" s="123"/>
      <c r="M286" s="123"/>
      <c r="N286" s="123"/>
      <c r="O286" s="124"/>
      <c r="P286" s="481"/>
      <c r="Q286" s="482"/>
      <c r="R286" s="482"/>
      <c r="S286" s="482"/>
      <c r="T286" s="483"/>
    </row>
    <row r="287" spans="1:20" x14ac:dyDescent="0.2">
      <c r="A287" s="478" t="s">
        <v>1352</v>
      </c>
      <c r="B287" s="479"/>
      <c r="C287" s="480"/>
      <c r="D287" s="123" t="s">
        <v>10</v>
      </c>
      <c r="E287" s="352"/>
      <c r="F287" s="481"/>
      <c r="G287" s="482"/>
      <c r="H287" s="482"/>
      <c r="I287" s="482"/>
      <c r="J287" s="483"/>
      <c r="K287" s="340"/>
      <c r="L287" s="123"/>
      <c r="M287" s="123"/>
      <c r="N287" s="123"/>
      <c r="O287" s="124"/>
      <c r="P287" s="481"/>
      <c r="Q287" s="482"/>
      <c r="R287" s="482"/>
      <c r="S287" s="482"/>
      <c r="T287" s="483"/>
    </row>
    <row r="289" spans="1:20" x14ac:dyDescent="0.2">
      <c r="A289" s="3" t="s">
        <v>271</v>
      </c>
      <c r="B289" s="3"/>
      <c r="C289" s="664"/>
      <c r="D289" s="664"/>
      <c r="E289" s="664"/>
      <c r="F289" s="664"/>
      <c r="G289" s="664"/>
      <c r="H289" s="664"/>
      <c r="I289" s="664"/>
      <c r="J289" s="664"/>
      <c r="K289" s="664"/>
      <c r="L289" s="664"/>
      <c r="M289" s="664"/>
      <c r="N289" s="664"/>
      <c r="O289" s="664"/>
      <c r="P289" s="664"/>
      <c r="Q289" s="664"/>
      <c r="R289" s="664"/>
      <c r="S289" s="664"/>
      <c r="T289" s="664"/>
    </row>
    <row r="290" spans="1:20" ht="13.5" thickBot="1" x14ac:dyDescent="0.25"/>
    <row r="291" spans="1:20" ht="14.25" customHeight="1" x14ac:dyDescent="0.2">
      <c r="A291" s="625" t="s">
        <v>272</v>
      </c>
      <c r="B291" s="626"/>
      <c r="C291" s="626"/>
      <c r="D291" s="626"/>
      <c r="E291" s="626"/>
      <c r="F291" s="626"/>
      <c r="G291" s="626"/>
      <c r="H291" s="626"/>
      <c r="I291" s="626"/>
      <c r="J291" s="626"/>
      <c r="K291" s="626"/>
      <c r="L291" s="626"/>
      <c r="M291" s="626"/>
      <c r="N291" s="626"/>
      <c r="O291" s="626"/>
      <c r="P291" s="626"/>
      <c r="Q291" s="626"/>
      <c r="R291" s="627"/>
    </row>
    <row r="292" spans="1:20" ht="15.75" customHeight="1" thickBot="1" x14ac:dyDescent="0.25">
      <c r="A292" s="651" t="s">
        <v>273</v>
      </c>
      <c r="B292" s="652"/>
      <c r="C292" s="120" t="s">
        <v>10</v>
      </c>
      <c r="D292" s="653" t="s">
        <v>274</v>
      </c>
      <c r="E292" s="653"/>
      <c r="F292" s="653"/>
      <c r="G292" s="653"/>
      <c r="H292" s="114"/>
      <c r="I292" s="120" t="s">
        <v>10</v>
      </c>
      <c r="J292" s="654" t="s">
        <v>275</v>
      </c>
      <c r="K292" s="654"/>
      <c r="L292" s="654"/>
      <c r="M292" s="341"/>
      <c r="N292" s="341"/>
      <c r="O292" s="120" t="s">
        <v>10</v>
      </c>
      <c r="P292" s="7"/>
      <c r="Q292" s="7"/>
      <c r="R292" s="93"/>
    </row>
    <row r="293" spans="1:20" x14ac:dyDescent="0.2">
      <c r="A293" s="3"/>
      <c r="B293" s="3"/>
      <c r="C293" s="6"/>
      <c r="D293" s="3"/>
      <c r="E293" s="3"/>
      <c r="F293" s="3"/>
      <c r="G293" s="3"/>
      <c r="H293" s="3"/>
      <c r="I293" s="6"/>
      <c r="J293" s="3"/>
      <c r="K293" s="3"/>
      <c r="L293" s="3"/>
      <c r="M293" s="3"/>
      <c r="N293" s="3"/>
      <c r="O293" s="6"/>
    </row>
    <row r="294" spans="1:20" x14ac:dyDescent="0.2">
      <c r="A294" s="490" t="s">
        <v>276</v>
      </c>
      <c r="B294" s="491"/>
      <c r="C294" s="491"/>
      <c r="D294" s="491"/>
      <c r="E294" s="491"/>
      <c r="F294" s="491"/>
      <c r="G294" s="492"/>
      <c r="H294" s="339"/>
      <c r="I294" s="490" t="s">
        <v>277</v>
      </c>
      <c r="J294" s="491"/>
      <c r="K294" s="491"/>
      <c r="L294" s="491"/>
      <c r="M294" s="491"/>
      <c r="N294" s="491"/>
      <c r="O294" s="491"/>
      <c r="P294" s="491"/>
      <c r="Q294" s="491"/>
      <c r="R294" s="492"/>
    </row>
    <row r="295" spans="1:20" ht="30.75" customHeight="1" x14ac:dyDescent="0.35">
      <c r="A295" s="275" t="s">
        <v>278</v>
      </c>
      <c r="B295" s="276"/>
      <c r="C295" s="276"/>
      <c r="D295" s="276"/>
      <c r="E295" s="276"/>
      <c r="F295" s="126" t="s">
        <v>10</v>
      </c>
      <c r="G295" s="100"/>
      <c r="H295" s="5"/>
      <c r="I295" s="640" t="s">
        <v>279</v>
      </c>
      <c r="J295" s="641"/>
      <c r="K295" s="641"/>
      <c r="L295" s="641"/>
      <c r="M295" s="362"/>
      <c r="N295" s="362"/>
      <c r="O295" s="540"/>
      <c r="P295" s="540"/>
      <c r="Q295" s="71"/>
      <c r="R295" s="127"/>
    </row>
    <row r="296" spans="1:20" ht="23.25" x14ac:dyDescent="0.35">
      <c r="A296" s="132" t="s">
        <v>280</v>
      </c>
      <c r="B296" s="12"/>
      <c r="C296" s="12"/>
      <c r="D296" s="12"/>
      <c r="E296" s="12"/>
      <c r="F296" s="126" t="s">
        <v>10</v>
      </c>
      <c r="G296" s="100"/>
      <c r="H296" s="5"/>
      <c r="I296" s="642" t="s">
        <v>281</v>
      </c>
      <c r="J296" s="558"/>
      <c r="K296" s="558"/>
      <c r="L296" s="558"/>
      <c r="M296" s="3"/>
      <c r="N296" s="3"/>
      <c r="O296" s="508" t="s">
        <v>406</v>
      </c>
      <c r="P296" s="508"/>
      <c r="Q296" s="6"/>
      <c r="R296" s="128"/>
    </row>
    <row r="297" spans="1:20" ht="23.25" x14ac:dyDescent="0.35">
      <c r="A297" s="132" t="s">
        <v>283</v>
      </c>
      <c r="B297" s="12"/>
      <c r="C297" s="12"/>
      <c r="D297" s="12"/>
      <c r="E297" s="12"/>
      <c r="F297" s="126" t="s">
        <v>10</v>
      </c>
      <c r="G297" s="100"/>
      <c r="H297" s="5"/>
      <c r="I297" s="642" t="s">
        <v>284</v>
      </c>
      <c r="J297" s="558"/>
      <c r="K297" s="558"/>
      <c r="L297" s="558"/>
      <c r="M297" s="3"/>
      <c r="N297" s="3"/>
      <c r="O297" s="540"/>
      <c r="P297" s="540"/>
      <c r="Q297" s="6"/>
      <c r="R297" s="129"/>
    </row>
    <row r="298" spans="1:20" ht="21" customHeight="1" x14ac:dyDescent="0.35">
      <c r="A298" s="132" t="s">
        <v>285</v>
      </c>
      <c r="B298" s="12"/>
      <c r="C298" s="12"/>
      <c r="F298" s="126" t="s">
        <v>10</v>
      </c>
      <c r="G298" s="100"/>
      <c r="H298" s="5"/>
      <c r="I298" s="110"/>
      <c r="J298" s="111"/>
      <c r="K298" s="111"/>
      <c r="L298" s="130"/>
      <c r="M298" s="130"/>
      <c r="N298" s="130"/>
      <c r="O298" s="130"/>
      <c r="P298" s="130"/>
      <c r="Q298" s="130"/>
      <c r="R298" s="131"/>
    </row>
    <row r="299" spans="1:20" ht="21" customHeight="1" x14ac:dyDescent="0.35">
      <c r="A299" s="132" t="s">
        <v>1076</v>
      </c>
      <c r="B299" s="12"/>
      <c r="D299" s="3"/>
      <c r="E299" s="3"/>
      <c r="F299" s="126" t="s">
        <v>10</v>
      </c>
      <c r="G299" s="100"/>
      <c r="H299" s="5"/>
    </row>
    <row r="300" spans="1:20" x14ac:dyDescent="0.2">
      <c r="A300" s="132" t="s">
        <v>286</v>
      </c>
      <c r="C300" s="3"/>
      <c r="D300" s="3"/>
      <c r="E300" s="3"/>
      <c r="F300" s="126" t="s">
        <v>10</v>
      </c>
      <c r="G300" s="100"/>
      <c r="H300" s="5"/>
    </row>
    <row r="301" spans="1:20" x14ac:dyDescent="0.2">
      <c r="A301" s="132" t="s">
        <v>287</v>
      </c>
      <c r="C301" s="3"/>
      <c r="D301" s="3"/>
      <c r="E301" s="3"/>
      <c r="F301" s="126" t="s">
        <v>10</v>
      </c>
      <c r="G301" s="100"/>
      <c r="H301" s="5"/>
    </row>
    <row r="302" spans="1:20" x14ac:dyDescent="0.2">
      <c r="A302" s="110"/>
      <c r="B302" s="111"/>
      <c r="C302" s="266"/>
      <c r="D302" s="266"/>
      <c r="E302" s="266"/>
      <c r="F302" s="112"/>
      <c r="G302" s="113"/>
      <c r="H302" s="5"/>
      <c r="I302" s="3"/>
      <c r="L302" s="19"/>
      <c r="M302" s="19"/>
      <c r="N302" s="19"/>
      <c r="O302" s="19"/>
      <c r="P302" s="19"/>
      <c r="Q302" s="19"/>
      <c r="R302" s="19"/>
    </row>
    <row r="303" spans="1:20" ht="20.25" customHeight="1" x14ac:dyDescent="0.2">
      <c r="D303" s="111"/>
      <c r="E303" s="111"/>
      <c r="F303" s="111"/>
      <c r="G303" s="111"/>
      <c r="H303" s="111"/>
      <c r="I303" s="111"/>
      <c r="L303" s="19"/>
      <c r="M303" s="19"/>
      <c r="N303" s="19"/>
      <c r="O303" s="19"/>
      <c r="P303" s="19"/>
      <c r="Q303" s="19"/>
      <c r="R303" s="19"/>
    </row>
    <row r="304" spans="1:20" ht="33.75" customHeight="1" x14ac:dyDescent="0.2">
      <c r="A304" s="634" t="s">
        <v>288</v>
      </c>
      <c r="B304" s="634"/>
      <c r="C304" s="635"/>
      <c r="D304" s="133"/>
      <c r="E304" s="134"/>
      <c r="F304" s="134"/>
      <c r="G304" s="134"/>
      <c r="H304" s="134"/>
      <c r="I304" s="134"/>
      <c r="J304" s="134"/>
      <c r="K304" s="134"/>
      <c r="L304" s="134"/>
      <c r="M304" s="134"/>
      <c r="N304" s="134"/>
      <c r="O304" s="134"/>
      <c r="P304" s="134"/>
      <c r="Q304" s="134"/>
      <c r="R304" s="135"/>
    </row>
    <row r="305" spans="1:18" ht="33.75" customHeight="1" x14ac:dyDescent="0.2">
      <c r="A305" s="274"/>
      <c r="B305" s="274"/>
      <c r="C305" s="274"/>
      <c r="D305" s="136"/>
      <c r="E305" s="136"/>
      <c r="F305" s="136"/>
      <c r="G305" s="136"/>
      <c r="H305" s="136"/>
      <c r="I305" s="136"/>
      <c r="J305" s="136"/>
      <c r="K305" s="136"/>
      <c r="L305" s="136"/>
      <c r="M305" s="136"/>
      <c r="N305" s="136"/>
      <c r="O305" s="136"/>
      <c r="P305" s="136"/>
      <c r="Q305" s="136"/>
      <c r="R305" s="136"/>
    </row>
    <row r="306" spans="1:18" x14ac:dyDescent="0.2">
      <c r="A306" s="490" t="s">
        <v>289</v>
      </c>
      <c r="B306" s="491"/>
      <c r="C306" s="491"/>
      <c r="D306" s="491"/>
      <c r="E306" s="491"/>
      <c r="F306" s="491"/>
      <c r="G306" s="492"/>
      <c r="H306" s="359"/>
      <c r="I306" s="136"/>
      <c r="J306" s="136"/>
      <c r="K306" s="136"/>
      <c r="L306" s="136"/>
      <c r="M306" s="136"/>
      <c r="N306" s="136"/>
      <c r="O306" s="136"/>
      <c r="P306" s="136"/>
      <c r="Q306" s="136"/>
      <c r="R306" s="136"/>
    </row>
    <row r="307" spans="1:18" x14ac:dyDescent="0.2">
      <c r="A307" s="159" t="s">
        <v>290</v>
      </c>
      <c r="B307" s="160"/>
      <c r="C307" s="160"/>
      <c r="D307" s="160"/>
      <c r="E307" s="160"/>
      <c r="F307" s="126" t="s">
        <v>10</v>
      </c>
      <c r="G307" s="100"/>
      <c r="H307" s="5"/>
      <c r="I307" s="136"/>
      <c r="J307" s="136"/>
      <c r="K307" s="136"/>
      <c r="L307" s="136"/>
      <c r="M307" s="136"/>
      <c r="N307" s="136"/>
      <c r="O307" s="136"/>
      <c r="P307" s="136"/>
      <c r="Q307" s="136"/>
      <c r="R307" s="136"/>
    </row>
    <row r="308" spans="1:18" x14ac:dyDescent="0.2">
      <c r="A308" s="132" t="s">
        <v>291</v>
      </c>
      <c r="B308" s="12"/>
      <c r="C308" s="12"/>
      <c r="D308" s="12"/>
      <c r="E308" s="12"/>
      <c r="F308" s="126" t="s">
        <v>10</v>
      </c>
      <c r="G308" s="100"/>
      <c r="H308" s="5"/>
      <c r="I308" s="137"/>
      <c r="J308" s="137"/>
      <c r="K308" s="137"/>
      <c r="L308" s="137"/>
      <c r="M308" s="137"/>
      <c r="N308" s="137"/>
      <c r="O308" s="137"/>
      <c r="P308" s="137"/>
      <c r="Q308" s="137"/>
      <c r="R308" s="137"/>
    </row>
    <row r="309" spans="1:18" x14ac:dyDescent="0.2">
      <c r="A309" s="132" t="s">
        <v>292</v>
      </c>
      <c r="B309" s="12"/>
      <c r="C309" s="12"/>
      <c r="D309" s="12"/>
      <c r="E309" s="12"/>
      <c r="F309" s="126" t="s">
        <v>10</v>
      </c>
      <c r="G309" s="100"/>
      <c r="H309" s="5"/>
      <c r="I309" s="137"/>
      <c r="J309" s="137"/>
      <c r="K309" s="137"/>
      <c r="L309" s="137"/>
      <c r="M309" s="137"/>
      <c r="N309" s="137"/>
      <c r="O309" s="137"/>
      <c r="P309" s="137"/>
      <c r="Q309" s="137"/>
      <c r="R309" s="137"/>
    </row>
    <row r="310" spans="1:18" x14ac:dyDescent="0.2">
      <c r="A310" s="132" t="s">
        <v>293</v>
      </c>
      <c r="B310" s="12"/>
      <c r="C310" s="12"/>
      <c r="F310" s="126" t="s">
        <v>10</v>
      </c>
      <c r="G310" s="100"/>
      <c r="H310" s="5"/>
      <c r="I310" s="137"/>
      <c r="J310" s="137"/>
      <c r="K310" s="137"/>
      <c r="L310" s="137"/>
      <c r="M310" s="137"/>
      <c r="N310" s="137"/>
      <c r="O310" s="137"/>
      <c r="P310" s="137"/>
      <c r="Q310" s="137"/>
      <c r="R310" s="137"/>
    </row>
    <row r="311" spans="1:18" x14ac:dyDescent="0.2">
      <c r="A311" s="132" t="s">
        <v>294</v>
      </c>
      <c r="B311" s="12"/>
      <c r="D311" s="3"/>
      <c r="E311" s="3"/>
      <c r="F311" s="126" t="s">
        <v>10</v>
      </c>
      <c r="G311" s="100"/>
      <c r="H311" s="5"/>
      <c r="I311" s="137"/>
      <c r="J311" s="137"/>
      <c r="K311" s="137"/>
      <c r="L311" s="137"/>
      <c r="M311" s="137"/>
      <c r="N311" s="137"/>
      <c r="O311" s="137"/>
      <c r="P311" s="137"/>
      <c r="Q311" s="137"/>
      <c r="R311" s="137"/>
    </row>
    <row r="312" spans="1:18" x14ac:dyDescent="0.2">
      <c r="A312" s="132" t="s">
        <v>295</v>
      </c>
      <c r="C312" s="3"/>
      <c r="D312" s="3"/>
      <c r="E312" s="3"/>
      <c r="F312" s="126" t="s">
        <v>10</v>
      </c>
      <c r="G312" s="100"/>
      <c r="H312" s="5"/>
      <c r="I312" s="137"/>
      <c r="J312" s="137"/>
      <c r="K312" s="137"/>
      <c r="L312" s="137"/>
      <c r="M312" s="137"/>
      <c r="N312" s="137"/>
      <c r="O312" s="137"/>
      <c r="P312" s="137"/>
      <c r="Q312" s="137"/>
      <c r="R312" s="137"/>
    </row>
    <row r="313" spans="1:18" x14ac:dyDescent="0.2">
      <c r="A313" s="132" t="s">
        <v>296</v>
      </c>
      <c r="C313" s="3"/>
      <c r="D313" s="3"/>
      <c r="E313" s="3"/>
      <c r="F313" s="126" t="s">
        <v>10</v>
      </c>
      <c r="G313" s="100"/>
      <c r="H313" s="5"/>
      <c r="I313" s="137"/>
      <c r="J313" s="137"/>
      <c r="K313" s="137"/>
      <c r="L313" s="137"/>
      <c r="M313" s="137"/>
      <c r="N313" s="137"/>
      <c r="O313" s="137"/>
      <c r="P313" s="137"/>
      <c r="Q313" s="137"/>
      <c r="R313" s="137"/>
    </row>
    <row r="314" spans="1:18" x14ac:dyDescent="0.2">
      <c r="A314" s="132" t="s">
        <v>297</v>
      </c>
      <c r="C314" s="3"/>
      <c r="D314" s="3"/>
      <c r="E314" s="3"/>
      <c r="F314" s="126" t="s">
        <v>10</v>
      </c>
      <c r="G314" s="100"/>
      <c r="H314" s="5"/>
      <c r="I314" s="137"/>
      <c r="J314" s="137"/>
      <c r="K314" s="137"/>
      <c r="L314" s="137"/>
      <c r="M314" s="137"/>
      <c r="N314" s="137"/>
      <c r="O314" s="137"/>
      <c r="P314" s="137"/>
      <c r="Q314" s="137"/>
      <c r="R314" s="137"/>
    </row>
    <row r="315" spans="1:18" x14ac:dyDescent="0.2">
      <c r="A315" s="132" t="s">
        <v>298</v>
      </c>
      <c r="C315" s="3"/>
      <c r="D315" s="3"/>
      <c r="E315" s="3"/>
      <c r="F315" s="138" t="s">
        <v>10</v>
      </c>
      <c r="G315" s="100"/>
      <c r="H315" s="5"/>
      <c r="I315" s="137"/>
      <c r="J315" s="137"/>
      <c r="K315" s="137"/>
      <c r="L315" s="137"/>
      <c r="M315" s="137"/>
      <c r="N315" s="137"/>
      <c r="O315" s="137"/>
      <c r="P315" s="137"/>
      <c r="Q315" s="137"/>
      <c r="R315" s="137"/>
    </row>
    <row r="316" spans="1:18" x14ac:dyDescent="0.2">
      <c r="A316" s="139" t="s">
        <v>299</v>
      </c>
      <c r="C316" s="3"/>
      <c r="D316" s="3"/>
      <c r="E316" s="3"/>
      <c r="F316" s="126" t="s">
        <v>10</v>
      </c>
      <c r="G316" s="100"/>
      <c r="H316" s="5"/>
      <c r="I316" s="137"/>
      <c r="J316" s="137"/>
      <c r="K316" s="137"/>
      <c r="L316" s="137"/>
      <c r="M316" s="137"/>
      <c r="N316" s="137"/>
      <c r="O316" s="137"/>
      <c r="P316" s="137"/>
      <c r="Q316" s="137"/>
      <c r="R316" s="137"/>
    </row>
    <row r="317" spans="1:18" x14ac:dyDescent="0.2">
      <c r="A317" s="110" t="s">
        <v>300</v>
      </c>
      <c r="B317" s="111"/>
      <c r="C317" s="266"/>
      <c r="D317" s="266"/>
      <c r="E317" s="266"/>
      <c r="F317" s="140" t="s">
        <v>10</v>
      </c>
      <c r="G317" s="113"/>
      <c r="H317" s="5"/>
      <c r="I317" s="137"/>
      <c r="J317" s="137"/>
      <c r="K317" s="137"/>
      <c r="L317" s="137"/>
      <c r="M317" s="137"/>
      <c r="N317" s="137"/>
      <c r="O317" s="137"/>
      <c r="P317" s="137"/>
      <c r="Q317" s="137"/>
      <c r="R317" s="137"/>
    </row>
    <row r="318" spans="1:18" ht="27.75" customHeight="1" x14ac:dyDescent="0.2">
      <c r="A318" s="141"/>
      <c r="B318" s="141"/>
      <c r="C318" s="142"/>
      <c r="D318" s="35"/>
      <c r="E318" s="35"/>
      <c r="F318" s="35"/>
      <c r="G318" s="35"/>
      <c r="H318" s="35"/>
      <c r="I318" s="35"/>
      <c r="J318" s="35"/>
      <c r="K318" s="35"/>
      <c r="L318" s="35"/>
      <c r="M318" s="35"/>
      <c r="N318" s="35"/>
      <c r="O318" s="35"/>
      <c r="P318" s="35"/>
      <c r="Q318" s="35"/>
      <c r="R318" s="35"/>
    </row>
    <row r="319" spans="1:18" ht="49.5" customHeight="1" x14ac:dyDescent="0.2">
      <c r="A319" s="271" t="s">
        <v>301</v>
      </c>
      <c r="B319" s="271"/>
      <c r="C319" s="272"/>
      <c r="D319" s="143"/>
      <c r="E319" s="144"/>
      <c r="F319" s="144"/>
      <c r="G319" s="144"/>
      <c r="H319" s="144"/>
      <c r="I319" s="144"/>
      <c r="J319" s="144"/>
      <c r="K319" s="144"/>
      <c r="L319" s="144"/>
      <c r="M319" s="144"/>
      <c r="N319" s="144"/>
      <c r="O319" s="144"/>
      <c r="P319" s="144"/>
      <c r="Q319" s="144"/>
      <c r="R319" s="145"/>
    </row>
    <row r="320" spans="1:18" ht="36" customHeight="1" x14ac:dyDescent="0.2">
      <c r="A320" s="636" t="s">
        <v>302</v>
      </c>
      <c r="B320" s="636"/>
      <c r="C320" s="273"/>
      <c r="D320" s="143"/>
      <c r="E320" s="144"/>
      <c r="F320" s="144"/>
      <c r="G320" s="144"/>
      <c r="H320" s="144"/>
      <c r="I320" s="144"/>
      <c r="J320" s="144"/>
      <c r="K320" s="144"/>
      <c r="L320" s="144"/>
      <c r="M320" s="144"/>
      <c r="N320" s="144"/>
      <c r="O320" s="144"/>
      <c r="P320" s="144"/>
      <c r="Q320" s="144"/>
      <c r="R320" s="145"/>
    </row>
    <row r="321" spans="1:20" ht="29.25" customHeight="1" x14ac:dyDescent="0.2">
      <c r="A321" s="271" t="s">
        <v>303</v>
      </c>
      <c r="B321" s="87"/>
      <c r="C321" s="146"/>
      <c r="D321" s="655"/>
      <c r="E321" s="656"/>
      <c r="F321" s="656"/>
      <c r="G321" s="656"/>
      <c r="H321" s="144"/>
      <c r="I321" s="144"/>
      <c r="J321" s="144"/>
      <c r="K321" s="144"/>
      <c r="L321" s="144"/>
      <c r="M321" s="144"/>
      <c r="N321" s="144"/>
      <c r="O321" s="144"/>
      <c r="P321" s="144"/>
      <c r="Q321" s="144"/>
      <c r="R321" s="145"/>
    </row>
    <row r="322" spans="1:20" x14ac:dyDescent="0.2">
      <c r="A322" s="271" t="s">
        <v>304</v>
      </c>
      <c r="B322" s="87"/>
      <c r="C322" s="146"/>
      <c r="D322" s="143"/>
      <c r="E322" s="144"/>
      <c r="F322" s="144"/>
      <c r="G322" s="144"/>
      <c r="H322" s="144"/>
      <c r="I322" s="144"/>
      <c r="J322" s="144"/>
      <c r="K322" s="144"/>
      <c r="L322" s="144"/>
      <c r="M322" s="144"/>
      <c r="N322" s="144"/>
      <c r="O322" s="144"/>
      <c r="P322" s="144"/>
      <c r="Q322" s="144"/>
      <c r="R322" s="145"/>
    </row>
    <row r="323" spans="1:20" x14ac:dyDescent="0.2">
      <c r="A323" s="271" t="s">
        <v>305</v>
      </c>
      <c r="B323" s="87"/>
      <c r="C323" s="146"/>
      <c r="D323" s="143"/>
      <c r="E323" s="144"/>
      <c r="F323" s="144"/>
      <c r="G323" s="144"/>
      <c r="H323" s="144"/>
      <c r="I323" s="144"/>
      <c r="J323" s="144"/>
      <c r="K323" s="144"/>
      <c r="L323" s="144"/>
      <c r="M323" s="144"/>
      <c r="N323" s="144"/>
      <c r="O323" s="144"/>
      <c r="P323" s="144"/>
      <c r="Q323" s="144"/>
      <c r="R323" s="145"/>
    </row>
    <row r="324" spans="1:20" x14ac:dyDescent="0.2">
      <c r="A324" s="147"/>
      <c r="B324" s="12"/>
      <c r="C324" s="148"/>
      <c r="D324" s="148"/>
      <c r="E324" s="148"/>
      <c r="F324" s="148"/>
      <c r="G324" s="148"/>
      <c r="H324" s="148"/>
      <c r="I324" s="148"/>
      <c r="J324" s="148"/>
      <c r="K324" s="148"/>
      <c r="L324" s="148"/>
      <c r="M324" s="148"/>
      <c r="N324" s="148"/>
      <c r="O324" s="148"/>
      <c r="P324" s="148"/>
      <c r="Q324" s="148"/>
      <c r="R324" s="148"/>
    </row>
    <row r="325" spans="1:20" ht="13.5" thickBot="1" x14ac:dyDescent="0.25">
      <c r="A325" s="149"/>
      <c r="B325" s="114"/>
      <c r="C325" s="150"/>
      <c r="D325" s="150"/>
      <c r="E325" s="150"/>
      <c r="F325" s="150"/>
      <c r="G325" s="150"/>
      <c r="H325" s="150"/>
      <c r="I325" s="150"/>
      <c r="J325" s="150"/>
      <c r="K325" s="150"/>
      <c r="L325" s="150"/>
      <c r="M325" s="150"/>
      <c r="N325" s="150"/>
      <c r="O325" s="150"/>
      <c r="P325" s="150"/>
      <c r="Q325" s="150"/>
      <c r="R325" s="150"/>
      <c r="S325" s="7"/>
      <c r="T325" s="7"/>
    </row>
    <row r="335" spans="1:20" ht="15.75" x14ac:dyDescent="0.25">
      <c r="A335" s="1" t="s">
        <v>323</v>
      </c>
      <c r="B335" s="1"/>
      <c r="C335" s="1"/>
      <c r="D335" s="1"/>
      <c r="E335" s="1"/>
      <c r="F335" s="1"/>
      <c r="G335" s="1"/>
      <c r="H335" s="1"/>
    </row>
    <row r="336" spans="1:20" x14ac:dyDescent="0.2">
      <c r="P336" s="43"/>
      <c r="Q336" s="43"/>
    </row>
    <row r="337" spans="1:19" ht="37.5" customHeight="1" x14ac:dyDescent="0.2">
      <c r="A337" s="159" t="s">
        <v>324</v>
      </c>
      <c r="B337" s="160"/>
      <c r="C337" s="160"/>
      <c r="D337" s="160"/>
      <c r="E337" s="160"/>
      <c r="F337" s="160"/>
      <c r="G337" s="160"/>
      <c r="H337" s="160"/>
      <c r="I337" s="160"/>
      <c r="J337" s="160"/>
      <c r="K337" s="160"/>
      <c r="L337" s="160"/>
      <c r="M337" s="160"/>
      <c r="N337" s="160"/>
      <c r="O337" s="126" t="s">
        <v>13</v>
      </c>
      <c r="P337" s="161"/>
      <c r="Q337" s="6"/>
    </row>
    <row r="338" spans="1:19" x14ac:dyDescent="0.2">
      <c r="A338" s="264" t="s">
        <v>325</v>
      </c>
      <c r="B338" s="3"/>
      <c r="C338" s="162"/>
      <c r="D338" s="162"/>
      <c r="E338" s="162"/>
      <c r="F338" s="162"/>
      <c r="G338" s="162"/>
      <c r="H338" s="162"/>
      <c r="I338" s="162"/>
      <c r="J338" s="162"/>
      <c r="K338" s="40"/>
      <c r="P338" s="163"/>
      <c r="Q338" s="43"/>
    </row>
    <row r="339" spans="1:19" ht="15.6" customHeight="1" x14ac:dyDescent="0.2">
      <c r="A339" s="139" t="s">
        <v>1162</v>
      </c>
      <c r="B339" s="18"/>
      <c r="C339" s="18"/>
      <c r="D339" s="18"/>
      <c r="E339" s="18"/>
      <c r="F339" s="18"/>
      <c r="G339" s="18"/>
      <c r="H339" s="18"/>
      <c r="I339" s="18"/>
      <c r="J339" s="18"/>
      <c r="K339" s="18"/>
      <c r="O339" s="126" t="s">
        <v>13</v>
      </c>
      <c r="P339" s="164"/>
      <c r="Q339" s="6"/>
    </row>
    <row r="340" spans="1:19" x14ac:dyDescent="0.2">
      <c r="A340" s="264" t="s">
        <v>325</v>
      </c>
      <c r="B340" s="3"/>
      <c r="C340" s="162"/>
      <c r="D340" s="162"/>
      <c r="E340" s="162"/>
      <c r="F340" s="162"/>
      <c r="G340" s="162"/>
      <c r="H340" s="162"/>
      <c r="I340" s="162"/>
      <c r="J340" s="162"/>
      <c r="K340" s="40"/>
      <c r="P340" s="163"/>
      <c r="Q340" s="43"/>
    </row>
    <row r="341" spans="1:19" x14ac:dyDescent="0.2">
      <c r="A341" s="139" t="s">
        <v>326</v>
      </c>
      <c r="O341" s="126" t="s">
        <v>10</v>
      </c>
      <c r="P341" s="164"/>
      <c r="Q341" s="6"/>
    </row>
    <row r="342" spans="1:19" x14ac:dyDescent="0.2">
      <c r="A342" s="628" t="s">
        <v>327</v>
      </c>
      <c r="B342" s="604"/>
      <c r="C342" s="604"/>
      <c r="D342" s="162"/>
      <c r="E342" s="162"/>
      <c r="F342" s="162" t="s">
        <v>1384</v>
      </c>
      <c r="G342" s="162"/>
      <c r="H342" s="162"/>
      <c r="I342" s="162"/>
      <c r="J342" s="162"/>
      <c r="K342" s="40"/>
      <c r="P342" s="163"/>
      <c r="Q342" s="43"/>
    </row>
    <row r="343" spans="1:19" x14ac:dyDescent="0.2">
      <c r="A343" s="264" t="s">
        <v>328</v>
      </c>
      <c r="B343" s="3"/>
      <c r="C343" s="3"/>
      <c r="D343" s="165"/>
      <c r="E343" s="165"/>
      <c r="F343" s="165"/>
      <c r="G343" s="165"/>
      <c r="H343" s="165"/>
      <c r="I343" s="165"/>
      <c r="J343" s="165"/>
      <c r="K343" s="389"/>
      <c r="P343" s="163"/>
      <c r="Q343" s="43"/>
    </row>
    <row r="344" spans="1:19" ht="12.75" customHeight="1" x14ac:dyDescent="0.2">
      <c r="A344" s="139" t="s">
        <v>329</v>
      </c>
      <c r="B344" s="18"/>
      <c r="C344" s="18"/>
      <c r="D344" s="18"/>
      <c r="E344" s="18"/>
      <c r="F344" s="18"/>
      <c r="G344" s="18"/>
      <c r="H344" s="18"/>
      <c r="I344" s="18"/>
      <c r="J344" s="18"/>
      <c r="K344" s="18"/>
      <c r="O344" s="126" t="s">
        <v>13</v>
      </c>
      <c r="P344" s="164"/>
      <c r="Q344" s="6"/>
    </row>
    <row r="345" spans="1:19" x14ac:dyDescent="0.2">
      <c r="A345" s="264" t="s">
        <v>325</v>
      </c>
      <c r="B345" s="3"/>
      <c r="C345" s="162"/>
      <c r="D345" s="162"/>
      <c r="E345" s="162"/>
      <c r="F345" s="162"/>
      <c r="G345" s="162"/>
      <c r="H345" s="162"/>
      <c r="I345" s="162"/>
      <c r="J345" s="162"/>
      <c r="K345" s="40"/>
      <c r="P345" s="163"/>
      <c r="Q345" s="43"/>
    </row>
    <row r="346" spans="1:19" x14ac:dyDescent="0.2">
      <c r="A346" s="139" t="s">
        <v>330</v>
      </c>
      <c r="O346" s="126" t="s">
        <v>13</v>
      </c>
      <c r="P346" s="164"/>
      <c r="Q346" s="6"/>
    </row>
    <row r="347" spans="1:19" x14ac:dyDescent="0.2">
      <c r="A347" s="264" t="s">
        <v>325</v>
      </c>
      <c r="B347" s="3"/>
      <c r="C347" s="162"/>
      <c r="D347" s="162"/>
      <c r="E347" s="162"/>
      <c r="F347" s="162"/>
      <c r="G347" s="162"/>
      <c r="H347" s="162"/>
      <c r="I347" s="162"/>
      <c r="J347" s="162"/>
      <c r="K347" s="40"/>
      <c r="P347" s="163"/>
      <c r="Q347" s="43"/>
    </row>
    <row r="348" spans="1:19" x14ac:dyDescent="0.2">
      <c r="A348" s="139" t="s">
        <v>331</v>
      </c>
      <c r="O348" s="126" t="s">
        <v>10</v>
      </c>
      <c r="P348" s="164"/>
      <c r="Q348" s="6"/>
    </row>
    <row r="349" spans="1:19" x14ac:dyDescent="0.2">
      <c r="A349" s="265" t="s">
        <v>332</v>
      </c>
      <c r="B349" s="266"/>
      <c r="C349" s="162"/>
      <c r="D349" s="162"/>
      <c r="E349" s="162"/>
      <c r="F349" s="162"/>
      <c r="G349" s="162"/>
      <c r="H349" s="162"/>
      <c r="I349" s="162"/>
      <c r="J349" s="162"/>
      <c r="K349" s="162"/>
      <c r="L349" s="111"/>
      <c r="M349" s="111"/>
      <c r="N349" s="111"/>
      <c r="O349" s="111"/>
      <c r="P349" s="166"/>
    </row>
    <row r="350" spans="1:19" ht="13.5" thickBot="1" x14ac:dyDescent="0.25">
      <c r="A350" s="167"/>
      <c r="B350" s="3"/>
      <c r="S350" s="7"/>
    </row>
    <row r="351" spans="1:19" ht="15.75" x14ac:dyDescent="0.25">
      <c r="A351" s="168" t="s">
        <v>333</v>
      </c>
      <c r="B351" s="169"/>
      <c r="C351" s="169"/>
      <c r="D351" s="169"/>
      <c r="E351" s="169"/>
      <c r="F351" s="169"/>
      <c r="G351" s="169"/>
      <c r="H351" s="169"/>
      <c r="I351" s="169"/>
      <c r="J351" s="169"/>
      <c r="K351" s="169"/>
      <c r="L351" s="169"/>
      <c r="M351" s="169"/>
      <c r="N351" s="169"/>
      <c r="O351" s="169"/>
      <c r="P351" s="169"/>
      <c r="Q351" s="169"/>
      <c r="R351" s="169"/>
      <c r="S351" s="169"/>
    </row>
    <row r="352" spans="1:19" ht="15.75" thickBot="1" x14ac:dyDescent="0.3">
      <c r="A352" s="170"/>
      <c r="B352"/>
      <c r="C352"/>
      <c r="D352"/>
      <c r="E352"/>
      <c r="F352"/>
      <c r="G352"/>
      <c r="H352"/>
      <c r="I352"/>
      <c r="J352"/>
      <c r="K352"/>
      <c r="L352"/>
      <c r="M352"/>
      <c r="N352"/>
      <c r="O352"/>
      <c r="P352"/>
      <c r="Q352"/>
      <c r="R352"/>
      <c r="S352"/>
    </row>
    <row r="353" spans="1:19" ht="25.5" x14ac:dyDescent="0.35">
      <c r="A353" s="629" t="s">
        <v>334</v>
      </c>
      <c r="B353" s="630"/>
      <c r="C353" s="630"/>
      <c r="D353" s="630"/>
      <c r="E353" s="630"/>
      <c r="F353" s="630"/>
      <c r="G353" s="630"/>
      <c r="H353" s="630"/>
      <c r="I353" s="630"/>
      <c r="J353" s="630"/>
      <c r="K353" s="630"/>
      <c r="L353" s="630"/>
      <c r="M353" s="630"/>
      <c r="N353" s="630"/>
      <c r="O353" s="630"/>
      <c r="P353" s="630"/>
      <c r="Q353" s="337"/>
      <c r="R353" s="171"/>
      <c r="S353" s="172"/>
    </row>
    <row r="354" spans="1:19" ht="13.15" customHeight="1" x14ac:dyDescent="0.2">
      <c r="A354" s="631" t="s">
        <v>335</v>
      </c>
      <c r="B354" s="632"/>
      <c r="C354" s="632"/>
      <c r="D354" s="632"/>
      <c r="E354" s="632"/>
      <c r="F354" s="632"/>
      <c r="G354" s="632"/>
      <c r="H354" s="632"/>
      <c r="I354" s="632"/>
      <c r="J354" s="632"/>
      <c r="K354" s="632"/>
      <c r="L354" s="632"/>
      <c r="M354" s="632"/>
      <c r="N354" s="632"/>
      <c r="O354" s="632"/>
      <c r="P354" s="632"/>
      <c r="Q354" s="632"/>
      <c r="R354" s="633"/>
      <c r="S354" s="260"/>
    </row>
    <row r="355" spans="1:19" ht="15.75" x14ac:dyDescent="0.25">
      <c r="A355" s="173" t="s">
        <v>336</v>
      </c>
      <c r="B355"/>
      <c r="C355"/>
      <c r="D355"/>
      <c r="E355"/>
      <c r="F355"/>
      <c r="G355"/>
      <c r="H355"/>
      <c r="I355" s="174" t="s">
        <v>337</v>
      </c>
      <c r="J355"/>
      <c r="K355"/>
      <c r="L355"/>
      <c r="M355"/>
      <c r="N355"/>
      <c r="O355"/>
      <c r="P355"/>
      <c r="Q355"/>
      <c r="R355" s="155"/>
      <c r="S355"/>
    </row>
    <row r="356" spans="1:19" ht="15" x14ac:dyDescent="0.25">
      <c r="A356" s="665"/>
      <c r="B356" s="666"/>
      <c r="C356" s="261"/>
      <c r="D356" s="261"/>
      <c r="E356" s="261"/>
      <c r="F356" s="175"/>
      <c r="G356"/>
      <c r="H356"/>
      <c r="I356" s="650"/>
      <c r="J356" s="650"/>
      <c r="K356" s="650"/>
      <c r="L356" s="650"/>
      <c r="M356" s="335"/>
      <c r="N356" s="335"/>
      <c r="O356" s="663"/>
      <c r="P356" s="650"/>
      <c r="Q356" s="374"/>
      <c r="R356" s="176"/>
      <c r="S356"/>
    </row>
    <row r="357" spans="1:19" ht="15" x14ac:dyDescent="0.25">
      <c r="A357" s="177" t="s">
        <v>338</v>
      </c>
      <c r="B357" s="178"/>
      <c r="C357" s="178"/>
      <c r="D357" s="178"/>
      <c r="E357" s="178"/>
      <c r="F357" s="179" t="s">
        <v>339</v>
      </c>
      <c r="G357"/>
      <c r="H357"/>
      <c r="I357" s="178" t="s">
        <v>340</v>
      </c>
      <c r="J357"/>
      <c r="K357"/>
      <c r="L357"/>
      <c r="M357"/>
      <c r="N357"/>
      <c r="O357"/>
      <c r="P357" s="179" t="s">
        <v>339</v>
      </c>
      <c r="Q357" s="179"/>
      <c r="R357" s="155"/>
      <c r="S357"/>
    </row>
    <row r="358" spans="1:19" ht="15" x14ac:dyDescent="0.25">
      <c r="A358" s="646"/>
      <c r="B358" s="647"/>
      <c r="C358" s="262"/>
      <c r="D358" s="263"/>
      <c r="E358" s="263"/>
      <c r="F358" s="263" t="s">
        <v>1386</v>
      </c>
      <c r="G358"/>
      <c r="H358"/>
      <c r="I358" s="471" t="s">
        <v>1039</v>
      </c>
      <c r="J358" s="471"/>
      <c r="K358" s="471"/>
      <c r="L358" s="471" t="s">
        <v>1378</v>
      </c>
      <c r="M358" s="471"/>
      <c r="N358" s="471"/>
      <c r="O358" s="471"/>
      <c r="P358" s="471"/>
      <c r="Q358" s="375"/>
      <c r="R358" s="176"/>
      <c r="S358"/>
    </row>
    <row r="359" spans="1:19" ht="15" x14ac:dyDescent="0.25">
      <c r="A359" s="177" t="s">
        <v>341</v>
      </c>
      <c r="B359"/>
      <c r="C359"/>
      <c r="D359" s="170"/>
      <c r="E359" s="170"/>
      <c r="F359" s="179" t="s">
        <v>342</v>
      </c>
      <c r="G359"/>
      <c r="H359"/>
      <c r="I359" s="178" t="s">
        <v>343</v>
      </c>
      <c r="J359" s="180"/>
      <c r="K359"/>
      <c r="L359"/>
      <c r="M359"/>
      <c r="N359"/>
      <c r="O359"/>
      <c r="P359" s="179" t="s">
        <v>344</v>
      </c>
      <c r="Q359" s="179"/>
      <c r="R359" s="155"/>
      <c r="S359"/>
    </row>
    <row r="360" spans="1:19" ht="15.75" thickBot="1" x14ac:dyDescent="0.3">
      <c r="A360" s="648"/>
      <c r="B360" s="649"/>
      <c r="C360" s="181"/>
      <c r="D360" s="181"/>
      <c r="E360" s="181"/>
      <c r="F360" s="181"/>
      <c r="G360" s="181"/>
      <c r="H360" s="181"/>
      <c r="I360" s="181"/>
      <c r="J360" s="181"/>
      <c r="K360" s="181"/>
      <c r="L360" s="181"/>
      <c r="M360" s="181"/>
      <c r="N360" s="181"/>
      <c r="O360" s="181"/>
      <c r="P360" s="181"/>
      <c r="Q360" s="181"/>
      <c r="R360" s="182"/>
      <c r="S360"/>
    </row>
    <row r="361" spans="1:19" ht="15" x14ac:dyDescent="0.25">
      <c r="A361" s="183"/>
      <c r="B361" s="184"/>
      <c r="C361"/>
      <c r="D361"/>
      <c r="E361"/>
      <c r="F361"/>
      <c r="G361"/>
      <c r="H361"/>
      <c r="I361"/>
      <c r="J361"/>
      <c r="K361"/>
      <c r="L361"/>
      <c r="M361"/>
      <c r="N361"/>
      <c r="O361"/>
      <c r="P361"/>
      <c r="Q361"/>
      <c r="R361"/>
      <c r="S361"/>
    </row>
    <row r="362" spans="1:19" ht="15.75" thickBot="1" x14ac:dyDescent="0.3">
      <c r="A362" s="183"/>
      <c r="B362" s="184"/>
      <c r="C362"/>
      <c r="D362"/>
      <c r="E362"/>
      <c r="F362"/>
      <c r="G362"/>
      <c r="H362"/>
      <c r="I362"/>
      <c r="J362"/>
      <c r="K362"/>
      <c r="L362"/>
      <c r="M362"/>
      <c r="N362"/>
      <c r="O362"/>
      <c r="P362"/>
      <c r="Q362"/>
      <c r="R362"/>
      <c r="S362" s="181"/>
    </row>
    <row r="363" spans="1:19" ht="18" x14ac:dyDescent="0.25">
      <c r="A363" s="185" t="s">
        <v>345</v>
      </c>
      <c r="B363" s="186"/>
      <c r="C363" s="186"/>
      <c r="D363" s="186"/>
      <c r="E363" s="186"/>
      <c r="F363" s="186"/>
      <c r="G363" s="186"/>
      <c r="H363" s="186"/>
      <c r="I363" s="186"/>
      <c r="J363" s="186"/>
      <c r="K363" s="186"/>
      <c r="L363" s="186"/>
      <c r="M363" s="186"/>
      <c r="N363" s="186"/>
      <c r="O363" s="186"/>
      <c r="P363" s="186"/>
      <c r="Q363" s="186"/>
      <c r="R363" s="186"/>
      <c r="S363" s="186"/>
    </row>
    <row r="364" spans="1:19" ht="15" x14ac:dyDescent="0.2">
      <c r="A364" s="187"/>
      <c r="B364" s="187"/>
      <c r="C364" s="187"/>
      <c r="D364" s="187"/>
      <c r="E364" s="187"/>
      <c r="F364" s="187"/>
      <c r="G364" s="187"/>
      <c r="H364" s="187"/>
      <c r="I364" s="187"/>
      <c r="J364" s="187"/>
      <c r="K364" s="187"/>
      <c r="L364" s="187"/>
      <c r="M364" s="187"/>
      <c r="N364" s="187"/>
      <c r="O364" s="187"/>
      <c r="P364" s="187"/>
      <c r="Q364" s="187"/>
      <c r="R364" s="187"/>
      <c r="S364" s="187"/>
    </row>
    <row r="365" spans="1:19" ht="14.25" x14ac:dyDescent="0.2">
      <c r="A365" s="188" t="s">
        <v>983</v>
      </c>
      <c r="B365" s="189"/>
      <c r="C365" s="188"/>
      <c r="D365" s="188"/>
      <c r="E365" s="188"/>
      <c r="F365" s="188"/>
      <c r="G365" s="188"/>
      <c r="H365" s="188"/>
      <c r="I365" s="188"/>
      <c r="J365" s="188"/>
      <c r="K365" s="188"/>
      <c r="L365" s="188"/>
      <c r="M365" s="188"/>
      <c r="N365" s="188"/>
      <c r="O365" s="188"/>
      <c r="P365" s="188"/>
      <c r="Q365" s="188"/>
      <c r="R365" s="188"/>
      <c r="S365" s="188"/>
    </row>
    <row r="366" spans="1:19" ht="14.25" x14ac:dyDescent="0.2">
      <c r="A366" s="188" t="s">
        <v>1078</v>
      </c>
      <c r="B366" s="189"/>
      <c r="C366" s="188"/>
      <c r="D366" s="188"/>
      <c r="E366" s="188"/>
      <c r="F366" s="188"/>
      <c r="G366" s="188"/>
      <c r="H366" s="188"/>
      <c r="I366" s="188"/>
      <c r="J366" s="188"/>
      <c r="K366" s="188"/>
      <c r="L366" s="188"/>
      <c r="M366" s="188"/>
      <c r="N366" s="188"/>
      <c r="O366" s="188"/>
      <c r="P366" s="188"/>
      <c r="Q366" s="188"/>
      <c r="R366" s="188"/>
      <c r="S366" s="188"/>
    </row>
    <row r="367" spans="1:19" ht="14.25" x14ac:dyDescent="0.2">
      <c r="A367" s="188" t="s">
        <v>346</v>
      </c>
      <c r="B367" s="189"/>
      <c r="C367" s="188"/>
      <c r="D367" s="188"/>
      <c r="E367" s="188"/>
      <c r="F367" s="188"/>
      <c r="G367" s="188"/>
      <c r="H367" s="188"/>
      <c r="I367" s="188"/>
      <c r="J367" s="188"/>
      <c r="K367" s="188"/>
      <c r="L367" s="188"/>
      <c r="M367" s="188"/>
      <c r="N367" s="188"/>
      <c r="O367" s="188"/>
      <c r="P367" s="188"/>
      <c r="Q367" s="188"/>
      <c r="R367" s="188"/>
      <c r="S367" s="188"/>
    </row>
    <row r="368" spans="1:19" ht="14.25" x14ac:dyDescent="0.2">
      <c r="A368" s="188" t="s">
        <v>347</v>
      </c>
      <c r="B368" s="189"/>
      <c r="C368" s="188"/>
      <c r="D368" s="188"/>
      <c r="E368" s="188"/>
      <c r="F368" s="188"/>
      <c r="G368" s="188"/>
      <c r="H368" s="188"/>
      <c r="I368" s="188"/>
      <c r="J368" s="188"/>
      <c r="K368" s="188"/>
      <c r="L368" s="188"/>
      <c r="M368" s="188"/>
      <c r="N368" s="188"/>
      <c r="O368" s="188"/>
      <c r="P368" s="188"/>
      <c r="Q368" s="188"/>
      <c r="R368" s="188"/>
      <c r="S368" s="188"/>
    </row>
    <row r="369" spans="1:19" ht="14.25" x14ac:dyDescent="0.2">
      <c r="A369" s="188" t="s">
        <v>348</v>
      </c>
      <c r="B369" s="189"/>
      <c r="C369" s="188"/>
      <c r="D369" s="188"/>
      <c r="E369" s="188"/>
      <c r="F369" s="188"/>
      <c r="G369" s="188"/>
      <c r="H369" s="188"/>
      <c r="I369" s="188"/>
      <c r="J369" s="188"/>
      <c r="K369" s="188"/>
      <c r="L369" s="188"/>
      <c r="M369" s="188"/>
      <c r="N369" s="188"/>
      <c r="O369" s="188"/>
      <c r="P369" s="188"/>
      <c r="Q369" s="188"/>
      <c r="R369" s="188"/>
      <c r="S369" s="188"/>
    </row>
    <row r="370" spans="1:19" ht="14.25" x14ac:dyDescent="0.2">
      <c r="A370" s="188" t="s">
        <v>349</v>
      </c>
      <c r="B370" s="189"/>
      <c r="C370" s="188"/>
      <c r="D370" s="188"/>
      <c r="E370" s="188"/>
      <c r="F370" s="188"/>
      <c r="G370" s="188"/>
      <c r="H370" s="188"/>
      <c r="I370" s="188"/>
      <c r="J370" s="188"/>
      <c r="K370" s="188"/>
      <c r="L370" s="188"/>
      <c r="M370" s="188"/>
      <c r="N370" s="188"/>
      <c r="O370" s="188"/>
      <c r="P370" s="188"/>
      <c r="Q370" s="188"/>
      <c r="R370" s="188"/>
      <c r="S370" s="188"/>
    </row>
    <row r="371" spans="1:19" ht="14.25" x14ac:dyDescent="0.2">
      <c r="A371" s="188" t="s">
        <v>350</v>
      </c>
      <c r="B371" s="189"/>
      <c r="C371" s="188"/>
      <c r="D371" s="188"/>
      <c r="E371" s="188"/>
      <c r="F371" s="188"/>
      <c r="G371" s="188"/>
      <c r="H371" s="188"/>
      <c r="I371" s="188"/>
      <c r="J371" s="188"/>
      <c r="K371" s="188"/>
      <c r="L371" s="188"/>
      <c r="M371" s="188"/>
      <c r="N371" s="188"/>
      <c r="O371" s="188"/>
      <c r="P371" s="188"/>
      <c r="Q371" s="188"/>
      <c r="R371" s="188"/>
      <c r="S371" s="188"/>
    </row>
    <row r="372" spans="1:19" ht="14.25" x14ac:dyDescent="0.2">
      <c r="A372" s="188" t="s">
        <v>351</v>
      </c>
      <c r="B372" s="189"/>
      <c r="C372" s="188"/>
      <c r="D372" s="188"/>
      <c r="E372" s="188"/>
      <c r="F372" s="188"/>
      <c r="G372" s="188"/>
      <c r="H372" s="188"/>
      <c r="I372" s="188"/>
      <c r="J372" s="188"/>
      <c r="K372" s="188"/>
      <c r="L372" s="188"/>
      <c r="M372" s="188"/>
      <c r="N372" s="188"/>
      <c r="O372" s="188"/>
      <c r="P372" s="188"/>
      <c r="Q372" s="188"/>
      <c r="R372" s="188"/>
      <c r="S372" s="188"/>
    </row>
    <row r="373" spans="1:19" ht="14.25" x14ac:dyDescent="0.2">
      <c r="A373" s="188" t="s">
        <v>352</v>
      </c>
      <c r="B373" s="189"/>
      <c r="C373" s="188"/>
      <c r="D373" s="188"/>
      <c r="E373" s="188"/>
      <c r="F373" s="188"/>
      <c r="G373" s="188"/>
      <c r="H373" s="188"/>
      <c r="I373" s="188"/>
      <c r="J373" s="188"/>
      <c r="K373" s="188"/>
      <c r="L373" s="188"/>
      <c r="M373" s="188"/>
      <c r="N373" s="188"/>
      <c r="O373" s="188"/>
      <c r="P373" s="188"/>
      <c r="Q373" s="188"/>
      <c r="R373" s="188"/>
      <c r="S373" s="188"/>
    </row>
  </sheetData>
  <mergeCells count="470">
    <mergeCell ref="C21:F21"/>
    <mergeCell ref="D153:I153"/>
    <mergeCell ref="R132:T132"/>
    <mergeCell ref="R138:T138"/>
    <mergeCell ref="R105:T105"/>
    <mergeCell ref="R106:T106"/>
    <mergeCell ref="C97:D97"/>
    <mergeCell ref="E97:H97"/>
    <mergeCell ref="C95:D95"/>
    <mergeCell ref="C96:D96"/>
    <mergeCell ref="C98:D98"/>
    <mergeCell ref="C99:D99"/>
    <mergeCell ref="C100:D100"/>
    <mergeCell ref="C101:D101"/>
    <mergeCell ref="C125:E125"/>
    <mergeCell ref="C126:E126"/>
    <mergeCell ref="C135:E135"/>
    <mergeCell ref="R95:S95"/>
    <mergeCell ref="R96:S96"/>
    <mergeCell ref="R97:S97"/>
    <mergeCell ref="R98:S98"/>
    <mergeCell ref="R99:S99"/>
    <mergeCell ref="F95:G95"/>
    <mergeCell ref="F96:G96"/>
    <mergeCell ref="F98:G98"/>
    <mergeCell ref="F99:G99"/>
    <mergeCell ref="O144:P144"/>
    <mergeCell ref="I135:K135"/>
    <mergeCell ref="O129:Q129"/>
    <mergeCell ref="O137:Q137"/>
    <mergeCell ref="I137:K137"/>
    <mergeCell ref="O131:Q131"/>
    <mergeCell ref="O132:Q132"/>
    <mergeCell ref="O133:Q133"/>
    <mergeCell ref="O134:Q134"/>
    <mergeCell ref="I132:K132"/>
    <mergeCell ref="I133:K133"/>
    <mergeCell ref="I134:K134"/>
    <mergeCell ref="I136:K136"/>
    <mergeCell ref="O138:Q138"/>
    <mergeCell ref="O122:Q122"/>
    <mergeCell ref="O123:Q123"/>
    <mergeCell ref="O124:Q124"/>
    <mergeCell ref="I125:K125"/>
    <mergeCell ref="O125:Q125"/>
    <mergeCell ref="O126:Q126"/>
    <mergeCell ref="O127:Q127"/>
    <mergeCell ref="O128:Q128"/>
    <mergeCell ref="C137:E137"/>
    <mergeCell ref="L128:N128"/>
    <mergeCell ref="L129:N129"/>
    <mergeCell ref="L130:N130"/>
    <mergeCell ref="O119:Q119"/>
    <mergeCell ref="L117:N117"/>
    <mergeCell ref="O117:Q117"/>
    <mergeCell ref="L121:N121"/>
    <mergeCell ref="O120:Q120"/>
    <mergeCell ref="O121:Q121"/>
    <mergeCell ref="L118:N118"/>
    <mergeCell ref="L119:N119"/>
    <mergeCell ref="L120:N120"/>
    <mergeCell ref="C131:E131"/>
    <mergeCell ref="C132:E132"/>
    <mergeCell ref="O130:Q130"/>
    <mergeCell ref="O135:Q135"/>
    <mergeCell ref="O136:Q136"/>
    <mergeCell ref="L131:N131"/>
    <mergeCell ref="L132:N132"/>
    <mergeCell ref="L133:N133"/>
    <mergeCell ref="C121:E121"/>
    <mergeCell ref="C127:E127"/>
    <mergeCell ref="C128:E128"/>
    <mergeCell ref="F128:H128"/>
    <mergeCell ref="F129:H129"/>
    <mergeCell ref="F130:H130"/>
    <mergeCell ref="I130:K130"/>
    <mergeCell ref="I122:K122"/>
    <mergeCell ref="I123:K123"/>
    <mergeCell ref="I124:K124"/>
    <mergeCell ref="I126:K126"/>
    <mergeCell ref="C124:E124"/>
    <mergeCell ref="F122:H122"/>
    <mergeCell ref="F124:H124"/>
    <mergeCell ref="C122:E122"/>
    <mergeCell ref="I119:K119"/>
    <mergeCell ref="I120:K120"/>
    <mergeCell ref="I121:K121"/>
    <mergeCell ref="F119:H119"/>
    <mergeCell ref="F120:H120"/>
    <mergeCell ref="F121:H121"/>
    <mergeCell ref="F125:H125"/>
    <mergeCell ref="F126:H126"/>
    <mergeCell ref="C119:E119"/>
    <mergeCell ref="C120:E120"/>
    <mergeCell ref="A234:G234"/>
    <mergeCell ref="A235:G235"/>
    <mergeCell ref="J168:L168"/>
    <mergeCell ref="J167:L167"/>
    <mergeCell ref="C123:E123"/>
    <mergeCell ref="L138:N138"/>
    <mergeCell ref="F123:H123"/>
    <mergeCell ref="F136:H136"/>
    <mergeCell ref="F137:H137"/>
    <mergeCell ref="C138:E138"/>
    <mergeCell ref="F138:H138"/>
    <mergeCell ref="F131:H131"/>
    <mergeCell ref="F132:H132"/>
    <mergeCell ref="F133:H133"/>
    <mergeCell ref="F134:H134"/>
    <mergeCell ref="F135:H135"/>
    <mergeCell ref="C133:E133"/>
    <mergeCell ref="L134:N134"/>
    <mergeCell ref="L127:N127"/>
    <mergeCell ref="C134:E134"/>
    <mergeCell ref="C136:E136"/>
    <mergeCell ref="C129:E129"/>
    <mergeCell ref="C130:E130"/>
    <mergeCell ref="F127:H127"/>
    <mergeCell ref="A109:B109"/>
    <mergeCell ref="A110:B110"/>
    <mergeCell ref="A111:B111"/>
    <mergeCell ref="A112:B112"/>
    <mergeCell ref="G75:I75"/>
    <mergeCell ref="G76:I76"/>
    <mergeCell ref="G77:I77"/>
    <mergeCell ref="F92:G92"/>
    <mergeCell ref="C94:E94"/>
    <mergeCell ref="A92:E92"/>
    <mergeCell ref="I80:L80"/>
    <mergeCell ref="C80:D80"/>
    <mergeCell ref="C81:D81"/>
    <mergeCell ref="C82:D82"/>
    <mergeCell ref="I105:K105"/>
    <mergeCell ref="I106:K106"/>
    <mergeCell ref="I107:K107"/>
    <mergeCell ref="F105:H105"/>
    <mergeCell ref="A102:B102"/>
    <mergeCell ref="C107:E107"/>
    <mergeCell ref="I111:K111"/>
    <mergeCell ref="C108:E108"/>
    <mergeCell ref="C109:E109"/>
    <mergeCell ref="C110:E110"/>
    <mergeCell ref="A273:C273"/>
    <mergeCell ref="A274:C274"/>
    <mergeCell ref="A275:C275"/>
    <mergeCell ref="A276:C276"/>
    <mergeCell ref="I256:R256"/>
    <mergeCell ref="A253:F253"/>
    <mergeCell ref="O356:P356"/>
    <mergeCell ref="O295:P295"/>
    <mergeCell ref="O297:P297"/>
    <mergeCell ref="C289:T289"/>
    <mergeCell ref="P277:T277"/>
    <mergeCell ref="F277:J277"/>
    <mergeCell ref="A356:B356"/>
    <mergeCell ref="O296:P296"/>
    <mergeCell ref="P284:T284"/>
    <mergeCell ref="P285:T285"/>
    <mergeCell ref="P286:T286"/>
    <mergeCell ref="A286:C286"/>
    <mergeCell ref="F278:J278"/>
    <mergeCell ref="F279:J279"/>
    <mergeCell ref="F272:J272"/>
    <mergeCell ref="F273:J273"/>
    <mergeCell ref="F274:J274"/>
    <mergeCell ref="P272:T272"/>
    <mergeCell ref="A358:B358"/>
    <mergeCell ref="A360:B360"/>
    <mergeCell ref="I356:L356"/>
    <mergeCell ref="A277:C277"/>
    <mergeCell ref="A278:C278"/>
    <mergeCell ref="A279:C279"/>
    <mergeCell ref="A280:C280"/>
    <mergeCell ref="A281:C281"/>
    <mergeCell ref="A282:C282"/>
    <mergeCell ref="A291:R291"/>
    <mergeCell ref="A292:B292"/>
    <mergeCell ref="D292:G292"/>
    <mergeCell ref="J292:L292"/>
    <mergeCell ref="P278:T278"/>
    <mergeCell ref="P279:T279"/>
    <mergeCell ref="P280:T280"/>
    <mergeCell ref="P281:T281"/>
    <mergeCell ref="P282:T282"/>
    <mergeCell ref="P283:T283"/>
    <mergeCell ref="F283:J283"/>
    <mergeCell ref="F284:J284"/>
    <mergeCell ref="A284:C284"/>
    <mergeCell ref="A285:C285"/>
    <mergeCell ref="D321:G321"/>
    <mergeCell ref="P273:T273"/>
    <mergeCell ref="P274:T274"/>
    <mergeCell ref="P275:T275"/>
    <mergeCell ref="P276:T276"/>
    <mergeCell ref="A236:G236"/>
    <mergeCell ref="A342:C342"/>
    <mergeCell ref="A353:P353"/>
    <mergeCell ref="A354:R354"/>
    <mergeCell ref="A294:G294"/>
    <mergeCell ref="I294:R294"/>
    <mergeCell ref="A304:C304"/>
    <mergeCell ref="A306:G306"/>
    <mergeCell ref="A320:B320"/>
    <mergeCell ref="F285:J285"/>
    <mergeCell ref="F286:J286"/>
    <mergeCell ref="F280:J280"/>
    <mergeCell ref="F281:J281"/>
    <mergeCell ref="F282:J282"/>
    <mergeCell ref="A283:C283"/>
    <mergeCell ref="I295:L295"/>
    <mergeCell ref="I296:L296"/>
    <mergeCell ref="I297:L297"/>
    <mergeCell ref="A272:C272"/>
    <mergeCell ref="F275:J275"/>
    <mergeCell ref="F276:J276"/>
    <mergeCell ref="A95:B95"/>
    <mergeCell ref="A96:B96"/>
    <mergeCell ref="A97:B97"/>
    <mergeCell ref="A98:B98"/>
    <mergeCell ref="A99:B99"/>
    <mergeCell ref="A100:B100"/>
    <mergeCell ref="D171:G171"/>
    <mergeCell ref="J171:L171"/>
    <mergeCell ref="J170:L170"/>
    <mergeCell ref="J169:L169"/>
    <mergeCell ref="J166:L166"/>
    <mergeCell ref="C103:E103"/>
    <mergeCell ref="C104:E104"/>
    <mergeCell ref="C112:E112"/>
    <mergeCell ref="C113:E113"/>
    <mergeCell ref="C114:E114"/>
    <mergeCell ref="A223:G223"/>
    <mergeCell ref="A225:G225"/>
    <mergeCell ref="A226:G226"/>
    <mergeCell ref="A229:I229"/>
    <mergeCell ref="A268:G268"/>
    <mergeCell ref="D168:G168"/>
    <mergeCell ref="A101:B101"/>
    <mergeCell ref="O168:P168"/>
    <mergeCell ref="A232:G232"/>
    <mergeCell ref="A233:G233"/>
    <mergeCell ref="O143:P143"/>
    <mergeCell ref="O145:P145"/>
    <mergeCell ref="O146:P146"/>
    <mergeCell ref="O147:P147"/>
    <mergeCell ref="O148:P148"/>
    <mergeCell ref="D143:E143"/>
    <mergeCell ref="A231:G231"/>
    <mergeCell ref="A219:I219"/>
    <mergeCell ref="O150:P150"/>
    <mergeCell ref="I196:J196"/>
    <mergeCell ref="A196:B196"/>
    <mergeCell ref="C196:D196"/>
    <mergeCell ref="F196:G196"/>
    <mergeCell ref="A195:J195"/>
    <mergeCell ref="O166:P166"/>
    <mergeCell ref="D152:I152"/>
    <mergeCell ref="C118:E118"/>
    <mergeCell ref="I118:K118"/>
    <mergeCell ref="O118:Q118"/>
    <mergeCell ref="I112:K112"/>
    <mergeCell ref="I114:K114"/>
    <mergeCell ref="I115:K115"/>
    <mergeCell ref="C117:E117"/>
    <mergeCell ref="F117:H117"/>
    <mergeCell ref="I117:K117"/>
    <mergeCell ref="F118:H118"/>
    <mergeCell ref="C111:E111"/>
    <mergeCell ref="I109:K109"/>
    <mergeCell ref="O109:Q109"/>
    <mergeCell ref="O110:Q110"/>
    <mergeCell ref="O111:Q111"/>
    <mergeCell ref="L109:N109"/>
    <mergeCell ref="C115:E115"/>
    <mergeCell ref="F115:H115"/>
    <mergeCell ref="F114:H114"/>
    <mergeCell ref="F112:H112"/>
    <mergeCell ref="O115:Q115"/>
    <mergeCell ref="I255:O255"/>
    <mergeCell ref="A103:B103"/>
    <mergeCell ref="A104:B104"/>
    <mergeCell ref="A105:B105"/>
    <mergeCell ref="A106:B106"/>
    <mergeCell ref="A113:B113"/>
    <mergeCell ref="A114:B114"/>
    <mergeCell ref="A115:B115"/>
    <mergeCell ref="A107:B107"/>
    <mergeCell ref="A108:B108"/>
    <mergeCell ref="O169:P169"/>
    <mergeCell ref="O170:P170"/>
    <mergeCell ref="O171:P171"/>
    <mergeCell ref="G173:J173"/>
    <mergeCell ref="G174:J174"/>
    <mergeCell ref="G203:I203"/>
    <mergeCell ref="D169:G169"/>
    <mergeCell ref="D170:G170"/>
    <mergeCell ref="A166:B166"/>
    <mergeCell ref="D166:G166"/>
    <mergeCell ref="D167:G167"/>
    <mergeCell ref="C105:E105"/>
    <mergeCell ref="C106:E106"/>
    <mergeCell ref="O114:Q114"/>
    <mergeCell ref="R121:T121"/>
    <mergeCell ref="R127:T127"/>
    <mergeCell ref="R128:T128"/>
    <mergeCell ref="R126:T126"/>
    <mergeCell ref="R125:T125"/>
    <mergeCell ref="I251:O251"/>
    <mergeCell ref="I252:O252"/>
    <mergeCell ref="I254:O254"/>
    <mergeCell ref="I250:O250"/>
    <mergeCell ref="I249:O249"/>
    <mergeCell ref="I138:K138"/>
    <mergeCell ref="I131:K131"/>
    <mergeCell ref="L135:N135"/>
    <mergeCell ref="L136:N136"/>
    <mergeCell ref="L137:N137"/>
    <mergeCell ref="L122:N122"/>
    <mergeCell ref="L123:N123"/>
    <mergeCell ref="L124:N124"/>
    <mergeCell ref="L125:N125"/>
    <mergeCell ref="L126:N126"/>
    <mergeCell ref="I127:K127"/>
    <mergeCell ref="I128:K128"/>
    <mergeCell ref="I129:K129"/>
    <mergeCell ref="O167:P167"/>
    <mergeCell ref="C76:D76"/>
    <mergeCell ref="C77:D77"/>
    <mergeCell ref="C78:D78"/>
    <mergeCell ref="C79:D79"/>
    <mergeCell ref="F94:H94"/>
    <mergeCell ref="L94:N94"/>
    <mergeCell ref="B10:F10"/>
    <mergeCell ref="B9:F9"/>
    <mergeCell ref="J78:L78"/>
    <mergeCell ref="C86:D86"/>
    <mergeCell ref="C83:D83"/>
    <mergeCell ref="J37:N37"/>
    <mergeCell ref="J38:N38"/>
    <mergeCell ref="C75:D75"/>
    <mergeCell ref="A94:B94"/>
    <mergeCell ref="L20:O20"/>
    <mergeCell ref="G78:I78"/>
    <mergeCell ref="J74:L74"/>
    <mergeCell ref="G9:I9"/>
    <mergeCell ref="J27:L27"/>
    <mergeCell ref="J60:L60"/>
    <mergeCell ref="J9:P9"/>
    <mergeCell ref="J10:P10"/>
    <mergeCell ref="B42:F42"/>
    <mergeCell ref="B2:F2"/>
    <mergeCell ref="J75:L75"/>
    <mergeCell ref="J76:L76"/>
    <mergeCell ref="J77:L77"/>
    <mergeCell ref="C72:D72"/>
    <mergeCell ref="C25:D25"/>
    <mergeCell ref="C27:D27"/>
    <mergeCell ref="J34:N34"/>
    <mergeCell ref="J33:N33"/>
    <mergeCell ref="J35:N35"/>
    <mergeCell ref="J36:N36"/>
    <mergeCell ref="C35:G35"/>
    <mergeCell ref="G2:I2"/>
    <mergeCell ref="G5:L5"/>
    <mergeCell ref="C14:F14"/>
    <mergeCell ref="C20:F20"/>
    <mergeCell ref="L21:P21"/>
    <mergeCell ref="B11:F11"/>
    <mergeCell ref="A76:B76"/>
    <mergeCell ref="L14:P14"/>
    <mergeCell ref="C5:D5"/>
    <mergeCell ref="C6:D6"/>
    <mergeCell ref="C34:G34"/>
    <mergeCell ref="C74:D74"/>
    <mergeCell ref="T97:U97"/>
    <mergeCell ref="T98:U98"/>
    <mergeCell ref="T99:U99"/>
    <mergeCell ref="F107:H107"/>
    <mergeCell ref="F109:H109"/>
    <mergeCell ref="F110:H110"/>
    <mergeCell ref="F111:H111"/>
    <mergeCell ref="O105:Q105"/>
    <mergeCell ref="O106:Q106"/>
    <mergeCell ref="O107:Q107"/>
    <mergeCell ref="F106:H106"/>
    <mergeCell ref="O97:P97"/>
    <mergeCell ref="O98:P98"/>
    <mergeCell ref="O99:P99"/>
    <mergeCell ref="O100:P100"/>
    <mergeCell ref="O101:P101"/>
    <mergeCell ref="T100:U100"/>
    <mergeCell ref="T101:U101"/>
    <mergeCell ref="L105:N105"/>
    <mergeCell ref="L106:N106"/>
    <mergeCell ref="L107:N107"/>
    <mergeCell ref="R101:S101"/>
    <mergeCell ref="F100:G100"/>
    <mergeCell ref="F101:G101"/>
    <mergeCell ref="R114:T114"/>
    <mergeCell ref="R129:T129"/>
    <mergeCell ref="T96:U96"/>
    <mergeCell ref="L97:M97"/>
    <mergeCell ref="J1:P1"/>
    <mergeCell ref="J2:P2"/>
    <mergeCell ref="J3:P3"/>
    <mergeCell ref="J4:P4"/>
    <mergeCell ref="O5:P5"/>
    <mergeCell ref="L112:N112"/>
    <mergeCell ref="L114:N114"/>
    <mergeCell ref="I95:J95"/>
    <mergeCell ref="I96:J96"/>
    <mergeCell ref="I97:J97"/>
    <mergeCell ref="I98:J98"/>
    <mergeCell ref="I99:J99"/>
    <mergeCell ref="I100:J100"/>
    <mergeCell ref="J11:P11"/>
    <mergeCell ref="J6:P6"/>
    <mergeCell ref="L110:N110"/>
    <mergeCell ref="L111:N111"/>
    <mergeCell ref="O95:P95"/>
    <mergeCell ref="O96:P96"/>
    <mergeCell ref="O112:Q112"/>
    <mergeCell ref="C18:F18"/>
    <mergeCell ref="L22:P22"/>
    <mergeCell ref="L23:P23"/>
    <mergeCell ref="J18:P18"/>
    <mergeCell ref="G74:I74"/>
    <mergeCell ref="R117:T117"/>
    <mergeCell ref="R122:T122"/>
    <mergeCell ref="R123:T123"/>
    <mergeCell ref="R124:T124"/>
    <mergeCell ref="R109:T109"/>
    <mergeCell ref="R110:T110"/>
    <mergeCell ref="R112:T112"/>
    <mergeCell ref="R107:T107"/>
    <mergeCell ref="R111:T111"/>
    <mergeCell ref="R115:T115"/>
    <mergeCell ref="R100:S100"/>
    <mergeCell ref="T95:U95"/>
    <mergeCell ref="I94:K94"/>
    <mergeCell ref="C84:D84"/>
    <mergeCell ref="C85:D85"/>
    <mergeCell ref="R120:T120"/>
    <mergeCell ref="R119:T119"/>
    <mergeCell ref="R118:T118"/>
    <mergeCell ref="L115:N115"/>
    <mergeCell ref="B43:F43"/>
    <mergeCell ref="B44:F44"/>
    <mergeCell ref="B45:F45"/>
    <mergeCell ref="B46:F46"/>
    <mergeCell ref="A287:C287"/>
    <mergeCell ref="F287:J287"/>
    <mergeCell ref="P287:T287"/>
    <mergeCell ref="A237:G237"/>
    <mergeCell ref="A238:G238"/>
    <mergeCell ref="A239:G239"/>
    <mergeCell ref="O196:T196"/>
    <mergeCell ref="I257:O257"/>
    <mergeCell ref="I248:R248"/>
    <mergeCell ref="O149:P149"/>
    <mergeCell ref="I110:K110"/>
    <mergeCell ref="C102:E102"/>
    <mergeCell ref="O94:Q94"/>
    <mergeCell ref="R137:T137"/>
    <mergeCell ref="R136:T136"/>
    <mergeCell ref="R135:T135"/>
    <mergeCell ref="R134:T134"/>
    <mergeCell ref="R133:T133"/>
    <mergeCell ref="R131:T131"/>
    <mergeCell ref="R130:T130"/>
  </mergeCells>
  <conditionalFormatting sqref="B197:B201">
    <cfRule type="expression" dxfId="46" priority="89">
      <formula>NOT(OR($C$14="NEMT",$C$14="Ambulance",$C$14="Paratransit(1-8)",$C$14="Paratransit(9-20)",$C$14="Paratransit(21-60)",$C$14="Paratransit(Over 60)"))</formula>
    </cfRule>
  </conditionalFormatting>
  <conditionalFormatting sqref="C18">
    <cfRule type="expression" dxfId="45" priority="218">
      <formula>$C$16="N"</formula>
    </cfRule>
  </conditionalFormatting>
  <conditionalFormatting sqref="C67:C68">
    <cfRule type="expression" dxfId="44" priority="106">
      <formula>$F$66="N"</formula>
    </cfRule>
  </conditionalFormatting>
  <conditionalFormatting sqref="C97 E97 I97">
    <cfRule type="expression" dxfId="43" priority="1">
      <formula>$F$92&lt;2</formula>
    </cfRule>
  </conditionalFormatting>
  <conditionalFormatting sqref="C98:C101 E98:F101">
    <cfRule type="expression" dxfId="42" priority="23">
      <formula>$F$92&lt;1</formula>
    </cfRule>
  </conditionalFormatting>
  <conditionalFormatting sqref="C99 E99:F99">
    <cfRule type="expression" dxfId="41" priority="24">
      <formula>$F$92&lt;2</formula>
    </cfRule>
  </conditionalFormatting>
  <conditionalFormatting sqref="C191">
    <cfRule type="expression" dxfId="40" priority="88">
      <formula>NOT(OR($C$14="NEMT",$C$14="Ambulance",$C$14="Paratransit(1-8)",$C$14="Paratransit(9-20)",$C$14="Paratransit(21-60)",$C$14="Paratransit(Over 60)"))</formula>
    </cfRule>
  </conditionalFormatting>
  <conditionalFormatting sqref="F216:F217">
    <cfRule type="expression" dxfId="39" priority="103">
      <formula>NOT(OR($C$14="NEMT",$C$14="Ambulance",$C$14="Paratransit(1-8)",$C$14="Paratransit(9-20)",$C$14="Paratransit(21-60)",$C$14="Paratransit(Over 60)"))</formula>
    </cfRule>
  </conditionalFormatting>
  <conditionalFormatting sqref="F273:F287">
    <cfRule type="expression" dxfId="38" priority="39">
      <formula>OR($D273="N",$D273="")</formula>
    </cfRule>
  </conditionalFormatting>
  <conditionalFormatting sqref="F120:H121">
    <cfRule type="expression" dxfId="37" priority="113">
      <formula>$F$92&lt;1</formula>
    </cfRule>
  </conditionalFormatting>
  <conditionalFormatting sqref="F67:P68">
    <cfRule type="expression" dxfId="36" priority="105">
      <formula>$F$66="N"</formula>
    </cfRule>
  </conditionalFormatting>
  <conditionalFormatting sqref="H98:I101">
    <cfRule type="expression" dxfId="35" priority="6">
      <formula>$F$92&lt;1</formula>
    </cfRule>
  </conditionalFormatting>
  <conditionalFormatting sqref="H99:I99">
    <cfRule type="expression" dxfId="34" priority="7">
      <formula>$F$92&lt;2</formula>
    </cfRule>
  </conditionalFormatting>
  <conditionalFormatting sqref="I95:I96">
    <cfRule type="expression" dxfId="33" priority="3">
      <formula>$F$92&lt;1</formula>
    </cfRule>
  </conditionalFormatting>
  <conditionalFormatting sqref="I221:I226">
    <cfRule type="expression" dxfId="32" priority="102">
      <formula>NOT(OR($C$14="NEMT",$C$14="Ambulance",$C$14="Paratransit(1-8)",$C$14="Paratransit(9-20)",$C$14="Paratransit(21-60)",$C$14="Paratransit(Over 60)"))</formula>
    </cfRule>
  </conditionalFormatting>
  <conditionalFormatting sqref="I230:I240">
    <cfRule type="expression" dxfId="29" priority="70">
      <formula>NOT(OR($C$14="NEMT",$C$14="Ambulance",$C$14="Paratransit(1-8)",$C$14="Paratransit(9-20)",$C$14="Paratransit(21-60)",$C$14="Paratransit(Over 60)"))</formula>
    </cfRule>
  </conditionalFormatting>
  <conditionalFormatting sqref="I102:K104 I107:K110 I113:K115">
    <cfRule type="expression" dxfId="28" priority="122">
      <formula>$F$92&lt;2</formula>
    </cfRule>
  </conditionalFormatting>
  <conditionalFormatting sqref="I120:K121">
    <cfRule type="expression" dxfId="27" priority="112">
      <formula>$F$92&lt;2</formula>
    </cfRule>
  </conditionalFormatting>
  <conditionalFormatting sqref="J197:J199">
    <cfRule type="expression" dxfId="26" priority="99">
      <formula>NOT(OR($C$14="NEMT",$C$14="Ambulance",$C$14="Paratransit(1-8)",$C$14="Paratransit(9-20)",$C$14="Paratransit(21-60)",$C$14="Paratransit(Over 60)"))</formula>
    </cfRule>
  </conditionalFormatting>
  <conditionalFormatting sqref="J18:K18">
    <cfRule type="expression" dxfId="25" priority="217">
      <formula>$C$16="N"</formula>
    </cfRule>
  </conditionalFormatting>
  <conditionalFormatting sqref="J75:L78">
    <cfRule type="expression" dxfId="24" priority="108">
      <formula>$C$72="Liability Only"</formula>
    </cfRule>
  </conditionalFormatting>
  <conditionalFormatting sqref="K100 J101:K101 F102:H104 F107:H110 I112:T112 F112:H115">
    <cfRule type="expression" dxfId="23" priority="114">
      <formula>$F$92&lt;1</formula>
    </cfRule>
  </conditionalFormatting>
  <conditionalFormatting sqref="K97:L97">
    <cfRule type="expression" dxfId="22" priority="2">
      <formula>$F$92&lt;2</formula>
    </cfRule>
  </conditionalFormatting>
  <conditionalFormatting sqref="K99:M99">
    <cfRule type="expression" dxfId="21" priority="13">
      <formula>$F$92&lt;3</formula>
    </cfRule>
  </conditionalFormatting>
  <conditionalFormatting sqref="K95:O96">
    <cfRule type="expression" dxfId="20" priority="8">
      <formula>$F$92&lt;1</formula>
    </cfRule>
  </conditionalFormatting>
  <conditionalFormatting sqref="K98:O98 L100:O101">
    <cfRule type="expression" dxfId="19" priority="12">
      <formula>$F$92&lt;1</formula>
    </cfRule>
  </conditionalFormatting>
  <conditionalFormatting sqref="L102:N104 L107:N110 L113:N115">
    <cfRule type="expression" dxfId="18" priority="120">
      <formula>$F$92&lt;3</formula>
    </cfRule>
  </conditionalFormatting>
  <conditionalFormatting sqref="L120:N121">
    <cfRule type="expression" dxfId="17" priority="111">
      <formula>$F$92&lt;3</formula>
    </cfRule>
  </conditionalFormatting>
  <conditionalFormatting sqref="L273:O287">
    <cfRule type="expression" dxfId="16" priority="37">
      <formula>OR($D273="N",$D273="")</formula>
    </cfRule>
  </conditionalFormatting>
  <conditionalFormatting sqref="N97 O102:Q110 O113:Q115">
    <cfRule type="expression" dxfId="15" priority="118">
      <formula>$F$92&lt;4</formula>
    </cfRule>
  </conditionalFormatting>
  <conditionalFormatting sqref="N99:O99 Q99:R99">
    <cfRule type="expression" dxfId="14" priority="18">
      <formula>$F$92&lt;4</formula>
    </cfRule>
  </conditionalFormatting>
  <conditionalFormatting sqref="O97 Q97:R97">
    <cfRule type="expression" dxfId="13" priority="14">
      <formula>$F$92&lt;2</formula>
    </cfRule>
  </conditionalFormatting>
  <conditionalFormatting sqref="O120:Q121">
    <cfRule type="expression" dxfId="12" priority="110">
      <formula>$F$92&lt;4</formula>
    </cfRule>
  </conditionalFormatting>
  <conditionalFormatting sqref="P20 L21:N23">
    <cfRule type="expression" dxfId="11" priority="219">
      <formula>$C$25="Y"</formula>
    </cfRule>
  </conditionalFormatting>
  <conditionalFormatting sqref="P197:P201">
    <cfRule type="expression" dxfId="10" priority="67">
      <formula>NOT(OR($C$14="NEMT",$C$14="Ambulance",$C$14="Paratransit(1-8)",$C$14="Paratransit(9-20)",$C$14="Paratransit(21-60)",$C$14="Paratransit(Over 60)"))</formula>
    </cfRule>
  </conditionalFormatting>
  <conditionalFormatting sqref="P273:Q287">
    <cfRule type="expression" dxfId="9" priority="78">
      <formula>$D273="Y"</formula>
    </cfRule>
  </conditionalFormatting>
  <conditionalFormatting sqref="Q95:R96">
    <cfRule type="expression" dxfId="8" priority="15">
      <formula>$F$92&lt;1</formula>
    </cfRule>
  </conditionalFormatting>
  <conditionalFormatting sqref="Q98:R98 Q100:R101">
    <cfRule type="expression" dxfId="7" priority="17">
      <formula>$F$92&lt;1</formula>
    </cfRule>
  </conditionalFormatting>
  <conditionalFormatting sqref="R102:T104 R105:R106 R107:T110 R113:T115">
    <cfRule type="expression" dxfId="6" priority="116">
      <formula>$F$92&lt;5</formula>
    </cfRule>
  </conditionalFormatting>
  <conditionalFormatting sqref="R120:T121">
    <cfRule type="expression" dxfId="5" priority="109">
      <formula>$F$92&lt;5</formula>
    </cfRule>
  </conditionalFormatting>
  <conditionalFormatting sqref="T95 T97 T99">
    <cfRule type="expression" dxfId="4" priority="21">
      <formula>$F$92&lt;5</formula>
    </cfRule>
  </conditionalFormatting>
  <conditionalFormatting sqref="T96">
    <cfRule type="expression" dxfId="3" priority="22">
      <formula>$F$92&lt;2</formula>
    </cfRule>
  </conditionalFormatting>
  <conditionalFormatting sqref="T98">
    <cfRule type="expression" dxfId="2" priority="19">
      <formula>$F$92&lt;1</formula>
    </cfRule>
  </conditionalFormatting>
  <conditionalFormatting sqref="T100:T101">
    <cfRule type="expression" dxfId="1" priority="20">
      <formula>$F$92&lt;1</formula>
    </cfRule>
  </conditionalFormatting>
  <conditionalFormatting sqref="T197:T201">
    <cfRule type="expression" dxfId="0" priority="64">
      <formula>NOT(OR($C$14="NEMT",$C$14="Ambulance",$C$14="Paratransit(1-8)",$C$14="Paratransit(9-20)",$C$14="Paratransit(21-60)",$C$14="Paratransit(Over 60)"))</formula>
    </cfRule>
  </conditionalFormatting>
  <dataValidations count="1">
    <dataValidation type="list" allowBlank="1" showInputMessage="1" showErrorMessage="1" sqref="C67:C68" xr:uid="{00000000-0002-0000-0000-000000000000}">
      <formula1>"Additional Insured,Loss Payee,Breach of Warranty,Mortgagee,Co-Owner,Owner,Employee As Lessor,Registrant,Leaseback Owner,Trustee,Lienholder,Additional Insured and Loss Payee"</formula1>
    </dataValidation>
  </dataValidations>
  <hyperlinks>
    <hyperlink ref="J3" r:id="rId1" xr:uid="{A6C7F05C-F588-4B58-87E1-5CC876C55185}"/>
    <hyperlink ref="J42" r:id="rId2" xr:uid="{2798BE58-1627-4EBF-B788-2F303C965613}"/>
  </hyperlinks>
  <pageMargins left="0.7" right="0.7" top="0.75" bottom="0.75" header="0.3" footer="0.3"/>
  <pageSetup scale="44" fitToHeight="6" orientation="portrait" r:id="rId3"/>
  <headerFooter>
    <oddHeader>&amp;C&amp;"Arial,Bold"&amp;18Rivington Transportation Application&amp;R&amp;14&amp;P of &amp;N</oddHeader>
    <oddFooter>&amp;C&amp;G&amp;R2.2</oddFooter>
  </headerFooter>
  <rowBreaks count="4" manualBreakCount="4">
    <brk id="50" max="19" man="1"/>
    <brk id="116" max="19" man="1"/>
    <brk id="213" max="13" man="1"/>
    <brk id="304" max="19" man="1"/>
  </rowBreaks>
  <drawing r:id="rId4"/>
  <legacyDrawing r:id="rId5"/>
  <legacyDrawingHF r:id="rId6"/>
  <mc:AlternateContent xmlns:mc="http://schemas.openxmlformats.org/markup-compatibility/2006">
    <mc:Choice Requires="x14">
      <controls>
        <mc:AlternateContent xmlns:mc="http://schemas.openxmlformats.org/markup-compatibility/2006">
          <mc:Choice Requires="x14">
            <control shapeId="1025" r:id="rId7" name="Button 1">
              <controlPr defaultSize="0" print="0" autoFill="0" autoPict="0" macro="[0]!delete">
                <anchor moveWithCells="1" sizeWithCells="1">
                  <from>
                    <xdr:col>17</xdr:col>
                    <xdr:colOff>561975</xdr:colOff>
                    <xdr:row>0</xdr:row>
                    <xdr:rowOff>257175</xdr:rowOff>
                  </from>
                  <to>
                    <xdr:col>19</xdr:col>
                    <xdr:colOff>333375</xdr:colOff>
                    <xdr:row>1</xdr:row>
                    <xdr:rowOff>209550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214" id="{00000000-000E-0000-0000-000070000000}">
            <xm:f>NOT(OR($C$14=Data!$Q$34,$C$14=Data!$Q$35,$C$14=Data!$Q$36,$C$14=Data!$Q$37,$C$14=Data!$Q$6))</xm:f>
            <x14:dxf>
              <fill>
                <patternFill patternType="darkUp"/>
              </fill>
            </x14:dxf>
          </x14:cfRule>
          <xm:sqref>I222:I226</xm:sqref>
        </x14:conditionalFormatting>
        <x14:conditionalFormatting xmlns:xm="http://schemas.microsoft.com/office/excel/2006/main">
          <x14:cfRule type="expression" priority="71" id="{67257248-6B9B-4D3B-91F3-F4C5384A4F76}">
            <xm:f>NOT(OR($C$14=Data!$Q$34,$C$14=Data!$Q$35,$C$14=Data!$Q$36,$C$14=Data!$Q$37,$C$14=Data!$Q$6))</xm:f>
            <x14:dxf>
              <fill>
                <patternFill patternType="darkUp"/>
              </fill>
            </x14:dxf>
          </x14:cfRule>
          <xm:sqref>I230:I240</xm:sqref>
        </x14:conditionalFormatting>
      </x14:conditionalFormattings>
    </ext>
    <ext xmlns:x14="http://schemas.microsoft.com/office/spreadsheetml/2009/9/main" uri="{CCE6A557-97BC-4b89-ADB6-D9C93CAAB3DF}">
      <x14:dataValidations xmlns:xm="http://schemas.microsoft.com/office/excel/2006/main" count="22">
        <x14:dataValidation type="list" allowBlank="1" showInputMessage="1" showErrorMessage="1" xr:uid="{00000000-0002-0000-0000-000001000000}">
          <x14:formula1>
            <xm:f>Data!$AL$1:$AL$3</xm:f>
          </x14:formula1>
          <xm:sqref>C72</xm:sqref>
        </x14:dataValidation>
        <x14:dataValidation type="list" allowBlank="1" showInputMessage="1" showErrorMessage="1" xr:uid="{00000000-0002-0000-0000-000002000000}">
          <x14:formula1>
            <xm:f>Data!$S$2:$S$7</xm:f>
          </x14:formula1>
          <xm:sqref>J10:K10</xm:sqref>
        </x14:dataValidation>
        <x14:dataValidation type="list" allowBlank="1" showInputMessage="1" showErrorMessage="1" xr:uid="{00000000-0002-0000-0000-000003000000}">
          <x14:formula1>
            <xm:f>Data!$P$1:$P$2</xm:f>
          </x14:formula1>
          <xm:sqref>F57:F60 C84:C85 E25 C25 C5:C6 C16:C17 F54:F55</xm:sqref>
        </x14:dataValidation>
        <x14:dataValidation type="list" allowBlank="1" showInputMessage="1" showErrorMessage="1" xr:uid="{00000000-0002-0000-0000-000004000000}">
          <x14:formula1>
            <xm:f>Data!$U$1:$U$3</xm:f>
          </x14:formula1>
          <xm:sqref>J48:Q48</xm:sqref>
        </x14:dataValidation>
        <x14:dataValidation type="list" allowBlank="1" showInputMessage="1" showErrorMessage="1" xr:uid="{00000000-0002-0000-0000-000005000000}">
          <x14:formula1>
            <xm:f>Data!$P$1:$P$3</xm:f>
          </x14:formula1>
          <xm:sqref>J49:N49 O34:O38 F307:F317 P249:Q255 P258:Q258 C269:C270 I269:I270 I292:I293 O292:O293 O337 O339 O341 O344 O346 O348 F295:F301 C292:C293 F206:F213 C183:C193 B247 C159:C161 E255:E256 F216:F217 B255:B262 I230:I240 I221:I226 D273:E287 M273:N287</xm:sqref>
        </x14:dataValidation>
        <x14:dataValidation type="list" allowBlank="1" showInputMessage="1" showErrorMessage="1" xr:uid="{00000000-0002-0000-0000-000006000000}">
          <x14:formula1>
            <xm:f>Data!$W$1:$W$4</xm:f>
          </x14:formula1>
          <xm:sqref>G179:H179</xm:sqref>
        </x14:dataValidation>
        <x14:dataValidation type="list" allowBlank="1" showInputMessage="1" showErrorMessage="1" xr:uid="{00000000-0002-0000-0000-000007000000}">
          <x14:formula1>
            <xm:f>Data!$X$2:$X$3</xm:f>
          </x14:formula1>
          <xm:sqref>C75</xm:sqref>
        </x14:dataValidation>
        <x14:dataValidation type="list" allowBlank="1" showInputMessage="1" showErrorMessage="1" xr:uid="{00000000-0002-0000-0000-00000A000000}">
          <x14:formula1>
            <xm:f>Data!$AB$2:$AB$30</xm:f>
          </x14:formula1>
          <xm:sqref>C79:C80</xm:sqref>
        </x14:dataValidation>
        <x14:dataValidation type="list" allowBlank="1" showInputMessage="1" showErrorMessage="1" xr:uid="{00000000-0002-0000-0000-00000B000000}">
          <x14:formula1>
            <xm:f>Data!$AC$2:$AC$18</xm:f>
          </x14:formula1>
          <xm:sqref>C78</xm:sqref>
        </x14:dataValidation>
        <x14:dataValidation type="list" allowBlank="1" showInputMessage="1" showErrorMessage="1" xr:uid="{00000000-0002-0000-0000-00000C000000}">
          <x14:formula1>
            <xm:f>Data!$AD$7:$AD$12</xm:f>
          </x14:formula1>
          <xm:sqref>M78:N78</xm:sqref>
        </x14:dataValidation>
        <x14:dataValidation type="list" allowBlank="1" showInputMessage="1" showErrorMessage="1" xr:uid="{00000000-0002-0000-0000-00000D000000}">
          <x14:formula1>
            <xm:f>Data!$AF$2:$AF$12</xm:f>
          </x14:formula1>
          <xm:sqref>F204:F205</xm:sqref>
        </x14:dataValidation>
        <x14:dataValidation type="list" allowBlank="1" showInputMessage="1" showErrorMessage="1" xr:uid="{00000000-0002-0000-0000-00000E000000}">
          <x14:formula1>
            <xm:f>Data!$AI$2:$AI$6</xm:f>
          </x14:formula1>
          <xm:sqref>C245:C246 D245:E245</xm:sqref>
        </x14:dataValidation>
        <x14:dataValidation type="list" allowBlank="1" showInputMessage="1" showErrorMessage="1" xr:uid="{00000000-0002-0000-0000-00000F000000}">
          <x14:formula1>
            <xm:f>Data!$AD$6:$AD$12</xm:f>
          </x14:formula1>
          <xm:sqref>J75:K77</xm:sqref>
        </x14:dataValidation>
        <x14:dataValidation type="list" allowBlank="1" showInputMessage="1" showErrorMessage="1" xr:uid="{00000000-0002-0000-0000-000010000000}">
          <x14:formula1>
            <xm:f>Data!$AJ$2:$AJ$8</xm:f>
          </x14:formula1>
          <xm:sqref>O296</xm:sqref>
        </x14:dataValidation>
        <x14:dataValidation type="list" allowBlank="1" showInputMessage="1" showErrorMessage="1" xr:uid="{00000000-0002-0000-0000-000012000000}">
          <x14:formula1>
            <xm:f>Data!$V$2:$V$3</xm:f>
          </x14:formula1>
          <xm:sqref>L14:Q14</xm:sqref>
        </x14:dataValidation>
        <x14:dataValidation type="list" allowBlank="1" showInputMessage="1" showErrorMessage="1" xr:uid="{00000000-0002-0000-0000-000013000000}">
          <x14:formula1>
            <xm:f>Data!$AE$3:$AE$13</xm:f>
          </x14:formula1>
          <xm:sqref>C86:D86 J78</xm:sqref>
        </x14:dataValidation>
        <x14:dataValidation type="list" allowBlank="1" showInputMessage="1" showErrorMessage="1" xr:uid="{00000000-0002-0000-0000-000014000000}">
          <x14:formula1>
            <xm:f>Data!$T$1:$T$4</xm:f>
          </x14:formula1>
          <xm:sqref>C18</xm:sqref>
        </x14:dataValidation>
        <x14:dataValidation type="list" allowBlank="1" showInputMessage="1" showErrorMessage="1" xr:uid="{D20C0BFA-B736-4B92-A155-BE03CDA0ACD1}">
          <x14:formula1>
            <xm:f>Data!$Z$2:$Z$29</xm:f>
          </x14:formula1>
          <xm:sqref>C76:D76</xm:sqref>
        </x14:dataValidation>
        <x14:dataValidation type="list" allowBlank="1" showInputMessage="1" showErrorMessage="1" xr:uid="{ABB0A4D6-77B9-456A-BADE-91CE838D813C}">
          <x14:formula1>
            <xm:f>Data!$Q$2:$Q$68</xm:f>
          </x14:formula1>
          <xm:sqref>C14:F14</xm:sqref>
        </x14:dataValidation>
        <x14:dataValidation type="list" allowBlank="1" showInputMessage="1" showErrorMessage="1" xr:uid="{750EE686-2B5F-4319-8D0C-D38C435BFB80}">
          <x14:formula1>
            <xm:f>Data!$AA$2:$AA$23</xm:f>
          </x14:formula1>
          <xm:sqref>C77:D77</xm:sqref>
        </x14:dataValidation>
        <x14:dataValidation type="list" allowBlank="1" showInputMessage="1" showErrorMessage="1" xr:uid="{4536BC3B-C8AF-42CA-8BFB-988913E1C1E4}">
          <x14:formula1>
            <xm:f>Data!$Y$2:$Y$8</xm:f>
          </x14:formula1>
          <xm:sqref>C81:D81</xm:sqref>
        </x14:dataValidation>
        <x14:dataValidation type="list" allowBlank="1" showInputMessage="1" showErrorMessage="1" xr:uid="{6455726C-21E6-4E38-81E7-CB0E1702A072}">
          <x14:formula1>
            <xm:f>Data!$AN$1:$AN$159</xm:f>
          </x14:formula1>
          <xm:sqref>C82:D82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rgb="FF92D050"/>
  </sheetPr>
  <dimension ref="A1:S440"/>
  <sheetViews>
    <sheetView view="pageBreakPreview" topLeftCell="B1" zoomScaleNormal="100" zoomScaleSheetLayoutView="100" workbookViewId="0">
      <selection activeCell="G2" sqref="G2"/>
    </sheetView>
  </sheetViews>
  <sheetFormatPr defaultColWidth="9" defaultRowHeight="12.75" x14ac:dyDescent="0.2"/>
  <cols>
    <col min="1" max="1" width="35.42578125" style="2" customWidth="1"/>
    <col min="2" max="2" width="36.7109375" style="2" customWidth="1"/>
    <col min="3" max="3" width="23.140625" style="2" customWidth="1"/>
    <col min="4" max="4" width="27.28515625" style="2" customWidth="1"/>
    <col min="5" max="5" width="41.42578125" style="455" customWidth="1"/>
    <col min="6" max="6" width="17.5703125" style="2" customWidth="1"/>
    <col min="7" max="7" width="21" style="2" customWidth="1"/>
    <col min="8" max="8" width="17.28515625" style="2" customWidth="1"/>
    <col min="9" max="9" width="19.5703125" style="2" customWidth="1"/>
    <col min="10" max="10" width="13.5703125" style="2" bestFit="1" customWidth="1"/>
    <col min="11" max="11" width="13.5703125" style="2" customWidth="1"/>
    <col min="12" max="12" width="16.5703125" style="2" bestFit="1" customWidth="1"/>
    <col min="13" max="13" width="15" style="2" bestFit="1" customWidth="1"/>
    <col min="14" max="14" width="15" style="2" customWidth="1"/>
    <col min="15" max="15" width="8.42578125" style="2" bestFit="1" customWidth="1"/>
    <col min="16" max="16" width="22.5703125" style="2" bestFit="1" customWidth="1"/>
    <col min="17" max="17" width="17.28515625" style="2" bestFit="1" customWidth="1"/>
    <col min="18" max="18" width="9" style="2"/>
    <col min="19" max="19" width="20.7109375" style="2" customWidth="1"/>
    <col min="20" max="20" width="16.5703125" style="2" customWidth="1"/>
    <col min="21" max="21" width="11.5703125" style="2" customWidth="1"/>
    <col min="22" max="22" width="18.42578125" style="2" bestFit="1" customWidth="1"/>
    <col min="23" max="23" width="17" style="2" bestFit="1" customWidth="1"/>
    <col min="24" max="16384" width="9" style="2"/>
  </cols>
  <sheetData>
    <row r="1" spans="1:19" ht="25.9" customHeight="1" x14ac:dyDescent="0.2">
      <c r="A1" s="190" t="s">
        <v>353</v>
      </c>
      <c r="B1" s="441" t="s">
        <v>354</v>
      </c>
      <c r="C1" s="441" t="s">
        <v>355</v>
      </c>
      <c r="D1" s="441" t="s">
        <v>356</v>
      </c>
      <c r="E1" s="454" t="s">
        <v>357</v>
      </c>
      <c r="F1" s="442" t="s">
        <v>358</v>
      </c>
      <c r="G1" s="443" t="s">
        <v>359</v>
      </c>
      <c r="H1" s="443" t="s">
        <v>360</v>
      </c>
      <c r="I1" s="443" t="s">
        <v>361</v>
      </c>
      <c r="J1" s="442" t="s">
        <v>362</v>
      </c>
      <c r="K1" s="442" t="s">
        <v>363</v>
      </c>
      <c r="L1" s="442" t="s">
        <v>364</v>
      </c>
      <c r="M1" s="442" t="s">
        <v>365</v>
      </c>
      <c r="N1" s="442" t="s">
        <v>366</v>
      </c>
      <c r="O1" s="442" t="s">
        <v>367</v>
      </c>
      <c r="P1" s="443" t="s">
        <v>368</v>
      </c>
      <c r="Q1" s="443" t="s">
        <v>369</v>
      </c>
      <c r="R1" s="443" t="s">
        <v>370</v>
      </c>
      <c r="S1" s="442" t="s">
        <v>371</v>
      </c>
    </row>
    <row r="2" spans="1:19" ht="15" x14ac:dyDescent="0.25">
      <c r="A2"/>
      <c r="B2">
        <v>2025</v>
      </c>
      <c r="C2" t="s">
        <v>1401</v>
      </c>
      <c r="D2" t="s">
        <v>1402</v>
      </c>
      <c r="E2" t="s">
        <v>1400</v>
      </c>
      <c r="F2"/>
      <c r="G2" s="2">
        <v>74000</v>
      </c>
      <c r="H2" s="2">
        <v>2500</v>
      </c>
      <c r="I2" s="2">
        <v>7</v>
      </c>
      <c r="J2" s="2" t="s">
        <v>1403</v>
      </c>
      <c r="K2" s="2">
        <v>25</v>
      </c>
    </row>
    <row r="3" spans="1:19" ht="15" x14ac:dyDescent="0.25">
      <c r="A3"/>
      <c r="B3"/>
      <c r="C3"/>
      <c r="D3"/>
      <c r="E3"/>
      <c r="F3"/>
    </row>
    <row r="4" spans="1:19" ht="15" x14ac:dyDescent="0.25">
      <c r="A4"/>
      <c r="B4"/>
      <c r="C4"/>
      <c r="D4"/>
      <c r="E4"/>
      <c r="F4"/>
    </row>
    <row r="5" spans="1:19" ht="15" x14ac:dyDescent="0.25">
      <c r="A5"/>
      <c r="B5"/>
      <c r="C5"/>
      <c r="D5"/>
      <c r="E5"/>
      <c r="F5"/>
    </row>
    <row r="6" spans="1:19" ht="15" x14ac:dyDescent="0.25">
      <c r="A6"/>
      <c r="B6"/>
      <c r="C6"/>
      <c r="D6"/>
      <c r="E6"/>
      <c r="F6"/>
    </row>
    <row r="7" spans="1:19" ht="15" x14ac:dyDescent="0.25">
      <c r="A7"/>
      <c r="B7"/>
      <c r="C7"/>
      <c r="D7"/>
      <c r="E7"/>
      <c r="F7"/>
    </row>
    <row r="8" spans="1:19" ht="15" x14ac:dyDescent="0.25">
      <c r="A8"/>
      <c r="B8"/>
      <c r="C8"/>
      <c r="D8"/>
      <c r="E8"/>
      <c r="F8"/>
    </row>
    <row r="9" spans="1:19" ht="15" x14ac:dyDescent="0.25">
      <c r="A9"/>
      <c r="B9"/>
      <c r="C9"/>
      <c r="D9"/>
      <c r="E9"/>
      <c r="F9"/>
    </row>
    <row r="10" spans="1:19" ht="15" x14ac:dyDescent="0.25">
      <c r="A10"/>
      <c r="B10"/>
      <c r="C10"/>
      <c r="D10"/>
      <c r="E10"/>
      <c r="F10"/>
    </row>
    <row r="11" spans="1:19" ht="15" x14ac:dyDescent="0.25">
      <c r="A11"/>
      <c r="B11"/>
      <c r="C11"/>
      <c r="D11"/>
      <c r="E11"/>
      <c r="F11"/>
    </row>
    <row r="12" spans="1:19" ht="15" x14ac:dyDescent="0.25">
      <c r="A12"/>
      <c r="B12"/>
      <c r="C12"/>
      <c r="D12"/>
      <c r="E12"/>
      <c r="F12"/>
    </row>
    <row r="13" spans="1:19" ht="15" x14ac:dyDescent="0.25">
      <c r="A13"/>
      <c r="B13"/>
      <c r="C13"/>
      <c r="D13"/>
      <c r="E13"/>
      <c r="F13"/>
    </row>
    <row r="14" spans="1:19" ht="15" x14ac:dyDescent="0.25">
      <c r="A14"/>
      <c r="B14"/>
      <c r="C14"/>
      <c r="D14"/>
      <c r="E14"/>
      <c r="F14"/>
    </row>
    <row r="15" spans="1:19" ht="15" x14ac:dyDescent="0.25">
      <c r="A15"/>
      <c r="B15"/>
      <c r="C15"/>
      <c r="D15"/>
      <c r="E15"/>
      <c r="F15"/>
    </row>
    <row r="16" spans="1:19" ht="15" x14ac:dyDescent="0.25">
      <c r="A16"/>
      <c r="B16"/>
      <c r="C16"/>
      <c r="D16"/>
      <c r="E16"/>
      <c r="F16"/>
    </row>
    <row r="17" spans="1:6" ht="15" x14ac:dyDescent="0.25">
      <c r="A17"/>
      <c r="B17"/>
      <c r="C17"/>
      <c r="D17"/>
      <c r="E17"/>
      <c r="F17"/>
    </row>
    <row r="18" spans="1:6" ht="15" x14ac:dyDescent="0.25">
      <c r="A18"/>
      <c r="B18"/>
      <c r="C18"/>
      <c r="D18"/>
      <c r="E18"/>
      <c r="F18"/>
    </row>
    <row r="19" spans="1:6" ht="15" x14ac:dyDescent="0.25">
      <c r="A19"/>
      <c r="B19"/>
      <c r="C19"/>
      <c r="D19"/>
      <c r="E19"/>
      <c r="F19"/>
    </row>
    <row r="20" spans="1:6" ht="15" x14ac:dyDescent="0.25">
      <c r="A20"/>
      <c r="B20"/>
      <c r="C20"/>
      <c r="D20"/>
      <c r="E20"/>
      <c r="F20"/>
    </row>
    <row r="21" spans="1:6" ht="15" x14ac:dyDescent="0.25">
      <c r="A21"/>
      <c r="B21"/>
      <c r="C21"/>
      <c r="D21"/>
      <c r="E21"/>
      <c r="F21"/>
    </row>
    <row r="22" spans="1:6" ht="15" x14ac:dyDescent="0.25">
      <c r="A22"/>
      <c r="B22"/>
      <c r="C22"/>
      <c r="D22"/>
      <c r="E22"/>
      <c r="F22"/>
    </row>
    <row r="23" spans="1:6" ht="15" x14ac:dyDescent="0.25">
      <c r="A23"/>
      <c r="B23"/>
      <c r="C23"/>
      <c r="D23"/>
      <c r="E23"/>
      <c r="F23"/>
    </row>
    <row r="24" spans="1:6" ht="15" x14ac:dyDescent="0.25">
      <c r="A24"/>
      <c r="B24"/>
      <c r="C24"/>
      <c r="D24"/>
      <c r="E24"/>
      <c r="F24"/>
    </row>
    <row r="25" spans="1:6" ht="15" x14ac:dyDescent="0.25">
      <c r="A25"/>
      <c r="B25"/>
      <c r="C25"/>
      <c r="D25"/>
      <c r="E25"/>
      <c r="F25"/>
    </row>
    <row r="26" spans="1:6" ht="15" x14ac:dyDescent="0.25">
      <c r="A26"/>
      <c r="B26"/>
      <c r="C26"/>
      <c r="D26"/>
      <c r="E26"/>
      <c r="F26"/>
    </row>
    <row r="27" spans="1:6" ht="15" x14ac:dyDescent="0.25">
      <c r="A27"/>
      <c r="B27"/>
      <c r="C27"/>
      <c r="D27"/>
      <c r="E27"/>
      <c r="F27"/>
    </row>
    <row r="28" spans="1:6" ht="15" x14ac:dyDescent="0.25">
      <c r="A28"/>
      <c r="B28"/>
      <c r="C28"/>
      <c r="D28"/>
      <c r="E28"/>
      <c r="F28"/>
    </row>
    <row r="29" spans="1:6" ht="15" x14ac:dyDescent="0.25">
      <c r="A29"/>
      <c r="B29"/>
      <c r="C29"/>
      <c r="D29"/>
      <c r="E29"/>
      <c r="F29"/>
    </row>
    <row r="30" spans="1:6" ht="15" x14ac:dyDescent="0.25">
      <c r="A30"/>
      <c r="B30"/>
      <c r="C30"/>
      <c r="D30"/>
      <c r="E30"/>
      <c r="F30"/>
    </row>
    <row r="31" spans="1:6" ht="15" x14ac:dyDescent="0.25">
      <c r="A31"/>
      <c r="B31"/>
      <c r="C31"/>
      <c r="D31"/>
      <c r="E31"/>
      <c r="F31"/>
    </row>
    <row r="32" spans="1:6" ht="15" x14ac:dyDescent="0.25">
      <c r="A32"/>
      <c r="B32"/>
      <c r="C32"/>
      <c r="D32"/>
      <c r="E32"/>
      <c r="F32"/>
    </row>
    <row r="33" spans="1:6" ht="15" x14ac:dyDescent="0.25">
      <c r="A33"/>
      <c r="B33"/>
      <c r="C33"/>
      <c r="D33"/>
      <c r="E33"/>
      <c r="F33"/>
    </row>
    <row r="34" spans="1:6" ht="15" x14ac:dyDescent="0.25">
      <c r="A34"/>
      <c r="B34"/>
      <c r="C34"/>
      <c r="D34"/>
      <c r="E34"/>
      <c r="F34"/>
    </row>
    <row r="35" spans="1:6" ht="15" x14ac:dyDescent="0.25">
      <c r="A35"/>
      <c r="B35"/>
      <c r="C35"/>
      <c r="D35"/>
      <c r="E35"/>
      <c r="F35"/>
    </row>
    <row r="36" spans="1:6" ht="15" x14ac:dyDescent="0.25">
      <c r="A36"/>
      <c r="B36"/>
      <c r="C36"/>
      <c r="D36"/>
      <c r="E36"/>
      <c r="F36"/>
    </row>
    <row r="37" spans="1:6" ht="15" x14ac:dyDescent="0.25">
      <c r="A37"/>
      <c r="B37"/>
      <c r="C37"/>
      <c r="D37"/>
      <c r="E37"/>
      <c r="F37"/>
    </row>
    <row r="38" spans="1:6" ht="15" x14ac:dyDescent="0.25">
      <c r="A38"/>
      <c r="B38"/>
      <c r="C38"/>
      <c r="D38"/>
      <c r="E38"/>
      <c r="F38"/>
    </row>
    <row r="39" spans="1:6" ht="15" x14ac:dyDescent="0.25">
      <c r="A39"/>
      <c r="B39"/>
      <c r="C39"/>
      <c r="D39"/>
      <c r="E39"/>
      <c r="F39"/>
    </row>
    <row r="40" spans="1:6" ht="15" x14ac:dyDescent="0.25">
      <c r="A40"/>
      <c r="B40"/>
      <c r="C40"/>
      <c r="D40"/>
      <c r="E40"/>
      <c r="F40"/>
    </row>
    <row r="41" spans="1:6" ht="15" x14ac:dyDescent="0.25">
      <c r="A41"/>
      <c r="B41"/>
      <c r="C41"/>
      <c r="D41"/>
      <c r="E41"/>
      <c r="F41"/>
    </row>
    <row r="42" spans="1:6" ht="15" x14ac:dyDescent="0.25">
      <c r="A42"/>
      <c r="B42"/>
      <c r="C42"/>
      <c r="D42"/>
      <c r="E42"/>
      <c r="F42"/>
    </row>
    <row r="43" spans="1:6" ht="15" x14ac:dyDescent="0.25">
      <c r="A43"/>
      <c r="B43"/>
      <c r="C43"/>
      <c r="D43"/>
      <c r="E43"/>
      <c r="F43"/>
    </row>
    <row r="44" spans="1:6" ht="15" x14ac:dyDescent="0.25">
      <c r="A44"/>
      <c r="B44"/>
      <c r="C44"/>
      <c r="D44"/>
      <c r="E44"/>
      <c r="F44"/>
    </row>
    <row r="45" spans="1:6" ht="15" x14ac:dyDescent="0.25">
      <c r="A45"/>
      <c r="B45"/>
      <c r="C45"/>
      <c r="D45"/>
      <c r="E45"/>
      <c r="F45"/>
    </row>
    <row r="46" spans="1:6" ht="15" x14ac:dyDescent="0.25">
      <c r="A46"/>
      <c r="B46"/>
      <c r="C46"/>
      <c r="D46"/>
      <c r="E46"/>
      <c r="F46"/>
    </row>
    <row r="47" spans="1:6" ht="15" x14ac:dyDescent="0.25">
      <c r="A47"/>
      <c r="B47"/>
      <c r="C47"/>
      <c r="D47"/>
      <c r="E47"/>
      <c r="F47"/>
    </row>
    <row r="48" spans="1:6" ht="15" x14ac:dyDescent="0.25">
      <c r="A48"/>
      <c r="B48"/>
      <c r="C48"/>
      <c r="D48"/>
      <c r="E48"/>
      <c r="F48"/>
    </row>
    <row r="49" spans="1:6" ht="15" x14ac:dyDescent="0.25">
      <c r="A49"/>
      <c r="B49"/>
      <c r="C49"/>
      <c r="D49"/>
      <c r="E49"/>
      <c r="F49"/>
    </row>
    <row r="50" spans="1:6" ht="15" x14ac:dyDescent="0.25">
      <c r="A50"/>
      <c r="B50"/>
      <c r="C50"/>
      <c r="D50"/>
      <c r="E50"/>
      <c r="F50"/>
    </row>
    <row r="51" spans="1:6" ht="15" x14ac:dyDescent="0.25">
      <c r="A51"/>
      <c r="B51"/>
      <c r="C51"/>
      <c r="D51"/>
      <c r="E51"/>
      <c r="F51"/>
    </row>
    <row r="52" spans="1:6" ht="15" x14ac:dyDescent="0.25">
      <c r="A52"/>
      <c r="B52"/>
      <c r="C52"/>
      <c r="D52"/>
      <c r="E52"/>
      <c r="F52"/>
    </row>
    <row r="53" spans="1:6" ht="15" x14ac:dyDescent="0.25">
      <c r="A53"/>
      <c r="B53"/>
      <c r="C53"/>
      <c r="D53"/>
      <c r="E53"/>
      <c r="F53"/>
    </row>
    <row r="54" spans="1:6" ht="15" x14ac:dyDescent="0.25">
      <c r="A54"/>
      <c r="B54"/>
      <c r="C54"/>
      <c r="D54"/>
      <c r="E54"/>
      <c r="F54"/>
    </row>
    <row r="55" spans="1:6" ht="15" x14ac:dyDescent="0.25">
      <c r="A55"/>
      <c r="B55"/>
      <c r="C55"/>
      <c r="D55"/>
      <c r="E55"/>
      <c r="F55"/>
    </row>
    <row r="56" spans="1:6" ht="15" x14ac:dyDescent="0.25">
      <c r="A56"/>
      <c r="B56"/>
      <c r="C56"/>
      <c r="D56"/>
      <c r="E56"/>
      <c r="F56"/>
    </row>
    <row r="57" spans="1:6" ht="15" x14ac:dyDescent="0.25">
      <c r="A57"/>
      <c r="B57"/>
      <c r="C57"/>
      <c r="D57"/>
      <c r="E57"/>
      <c r="F57"/>
    </row>
    <row r="58" spans="1:6" ht="15" x14ac:dyDescent="0.25">
      <c r="A58"/>
      <c r="B58"/>
      <c r="C58"/>
      <c r="D58"/>
      <c r="E58"/>
      <c r="F58"/>
    </row>
    <row r="59" spans="1:6" ht="15" x14ac:dyDescent="0.25">
      <c r="A59"/>
      <c r="B59"/>
      <c r="C59"/>
      <c r="D59"/>
      <c r="E59"/>
      <c r="F59"/>
    </row>
    <row r="60" spans="1:6" ht="15" x14ac:dyDescent="0.25">
      <c r="A60"/>
      <c r="B60"/>
      <c r="C60"/>
      <c r="D60"/>
      <c r="E60"/>
      <c r="F60"/>
    </row>
    <row r="61" spans="1:6" ht="15" x14ac:dyDescent="0.25">
      <c r="A61"/>
      <c r="B61"/>
      <c r="C61"/>
      <c r="D61"/>
      <c r="E61"/>
      <c r="F61"/>
    </row>
    <row r="62" spans="1:6" ht="15" x14ac:dyDescent="0.25">
      <c r="A62"/>
      <c r="B62"/>
      <c r="C62"/>
      <c r="D62"/>
      <c r="E62"/>
      <c r="F62"/>
    </row>
    <row r="63" spans="1:6" ht="15" x14ac:dyDescent="0.25">
      <c r="A63"/>
      <c r="B63"/>
      <c r="C63"/>
      <c r="D63"/>
      <c r="E63"/>
      <c r="F63"/>
    </row>
    <row r="64" spans="1:6" ht="15" x14ac:dyDescent="0.25">
      <c r="A64"/>
      <c r="B64"/>
      <c r="C64"/>
      <c r="D64"/>
      <c r="E64"/>
      <c r="F64"/>
    </row>
    <row r="65" spans="1:6" ht="15" x14ac:dyDescent="0.25">
      <c r="A65"/>
      <c r="B65"/>
      <c r="C65"/>
      <c r="D65"/>
      <c r="E65"/>
      <c r="F65"/>
    </row>
    <row r="66" spans="1:6" ht="15" x14ac:dyDescent="0.25">
      <c r="A66"/>
      <c r="B66"/>
      <c r="C66"/>
      <c r="D66"/>
      <c r="E66"/>
      <c r="F66"/>
    </row>
    <row r="67" spans="1:6" ht="15" x14ac:dyDescent="0.25">
      <c r="A67"/>
      <c r="B67"/>
      <c r="C67"/>
      <c r="D67"/>
      <c r="E67"/>
      <c r="F67"/>
    </row>
    <row r="68" spans="1:6" ht="15" x14ac:dyDescent="0.25">
      <c r="A68"/>
      <c r="B68"/>
      <c r="C68"/>
      <c r="D68"/>
      <c r="E68"/>
      <c r="F68"/>
    </row>
    <row r="69" spans="1:6" ht="15" x14ac:dyDescent="0.25">
      <c r="A69"/>
      <c r="B69"/>
      <c r="C69"/>
      <c r="D69"/>
      <c r="E69"/>
      <c r="F69"/>
    </row>
    <row r="70" spans="1:6" ht="15" x14ac:dyDescent="0.25">
      <c r="A70"/>
      <c r="B70"/>
      <c r="C70"/>
      <c r="D70"/>
      <c r="E70"/>
      <c r="F70"/>
    </row>
    <row r="71" spans="1:6" ht="15" x14ac:dyDescent="0.25">
      <c r="A71"/>
      <c r="B71"/>
      <c r="C71"/>
      <c r="D71"/>
      <c r="E71"/>
      <c r="F71"/>
    </row>
    <row r="72" spans="1:6" ht="15" x14ac:dyDescent="0.25">
      <c r="A72"/>
      <c r="B72"/>
      <c r="C72"/>
      <c r="D72"/>
      <c r="E72"/>
      <c r="F72"/>
    </row>
    <row r="73" spans="1:6" ht="15" x14ac:dyDescent="0.25">
      <c r="A73"/>
      <c r="B73"/>
      <c r="C73"/>
      <c r="D73"/>
      <c r="E73"/>
      <c r="F73"/>
    </row>
    <row r="74" spans="1:6" ht="15" x14ac:dyDescent="0.25">
      <c r="A74"/>
      <c r="B74"/>
      <c r="C74"/>
      <c r="D74"/>
      <c r="E74"/>
      <c r="F74"/>
    </row>
    <row r="75" spans="1:6" ht="15" x14ac:dyDescent="0.25">
      <c r="A75"/>
      <c r="B75"/>
      <c r="C75"/>
      <c r="D75"/>
      <c r="E75"/>
      <c r="F75"/>
    </row>
    <row r="76" spans="1:6" ht="15" x14ac:dyDescent="0.25">
      <c r="A76"/>
      <c r="B76"/>
      <c r="C76"/>
      <c r="D76"/>
      <c r="E76"/>
      <c r="F76"/>
    </row>
    <row r="77" spans="1:6" ht="15" x14ac:dyDescent="0.25">
      <c r="A77"/>
      <c r="B77"/>
      <c r="C77"/>
      <c r="D77"/>
      <c r="E77"/>
      <c r="F77"/>
    </row>
    <row r="78" spans="1:6" ht="15" x14ac:dyDescent="0.25">
      <c r="A78"/>
      <c r="B78"/>
      <c r="C78"/>
      <c r="D78"/>
      <c r="E78"/>
      <c r="F78"/>
    </row>
    <row r="79" spans="1:6" ht="15" x14ac:dyDescent="0.25">
      <c r="A79"/>
      <c r="B79"/>
      <c r="C79"/>
      <c r="D79"/>
      <c r="E79"/>
      <c r="F79"/>
    </row>
    <row r="80" spans="1:6" ht="15" x14ac:dyDescent="0.25">
      <c r="A80"/>
      <c r="B80"/>
      <c r="C80"/>
      <c r="D80"/>
      <c r="E80"/>
      <c r="F80"/>
    </row>
    <row r="81" spans="1:6" ht="15" x14ac:dyDescent="0.25">
      <c r="A81"/>
      <c r="B81"/>
      <c r="C81"/>
      <c r="D81"/>
      <c r="E81"/>
      <c r="F81"/>
    </row>
    <row r="82" spans="1:6" ht="15" x14ac:dyDescent="0.25">
      <c r="A82"/>
      <c r="B82"/>
      <c r="C82"/>
      <c r="D82"/>
      <c r="E82"/>
      <c r="F82"/>
    </row>
    <row r="83" spans="1:6" ht="15" x14ac:dyDescent="0.25">
      <c r="A83"/>
      <c r="B83"/>
      <c r="C83"/>
      <c r="D83"/>
      <c r="E83"/>
      <c r="F83"/>
    </row>
    <row r="84" spans="1:6" ht="15" x14ac:dyDescent="0.25">
      <c r="A84"/>
      <c r="B84"/>
      <c r="C84"/>
      <c r="D84"/>
      <c r="E84"/>
      <c r="F84"/>
    </row>
    <row r="85" spans="1:6" ht="15" x14ac:dyDescent="0.25">
      <c r="A85"/>
      <c r="B85"/>
      <c r="C85"/>
      <c r="D85"/>
      <c r="E85"/>
      <c r="F85"/>
    </row>
    <row r="86" spans="1:6" ht="15" x14ac:dyDescent="0.25">
      <c r="A86"/>
      <c r="B86"/>
      <c r="C86"/>
      <c r="D86"/>
      <c r="E86"/>
      <c r="F86"/>
    </row>
    <row r="87" spans="1:6" ht="15" x14ac:dyDescent="0.25">
      <c r="A87"/>
      <c r="B87"/>
      <c r="C87"/>
      <c r="D87"/>
      <c r="E87"/>
      <c r="F87"/>
    </row>
    <row r="88" spans="1:6" ht="15" x14ac:dyDescent="0.25">
      <c r="A88"/>
      <c r="B88"/>
      <c r="C88"/>
      <c r="D88"/>
      <c r="E88"/>
      <c r="F88"/>
    </row>
    <row r="89" spans="1:6" ht="15" x14ac:dyDescent="0.25">
      <c r="A89"/>
      <c r="B89"/>
      <c r="C89"/>
      <c r="D89"/>
      <c r="E89"/>
      <c r="F89"/>
    </row>
    <row r="90" spans="1:6" ht="15" x14ac:dyDescent="0.25">
      <c r="A90"/>
      <c r="B90"/>
      <c r="C90"/>
      <c r="D90"/>
      <c r="E90"/>
      <c r="F90"/>
    </row>
    <row r="91" spans="1:6" ht="15" x14ac:dyDescent="0.25">
      <c r="A91"/>
      <c r="B91"/>
      <c r="C91"/>
      <c r="D91"/>
      <c r="E91"/>
      <c r="F91"/>
    </row>
    <row r="92" spans="1:6" ht="15" x14ac:dyDescent="0.25">
      <c r="A92"/>
      <c r="B92"/>
      <c r="C92"/>
      <c r="D92"/>
      <c r="E92"/>
      <c r="F92"/>
    </row>
    <row r="93" spans="1:6" ht="15" x14ac:dyDescent="0.25">
      <c r="A93"/>
      <c r="B93"/>
      <c r="C93"/>
      <c r="D93"/>
      <c r="E93"/>
      <c r="F93"/>
    </row>
    <row r="94" spans="1:6" ht="15" x14ac:dyDescent="0.25">
      <c r="A94"/>
      <c r="B94"/>
      <c r="C94"/>
      <c r="D94"/>
      <c r="E94"/>
      <c r="F94"/>
    </row>
    <row r="95" spans="1:6" ht="15" x14ac:dyDescent="0.25">
      <c r="A95"/>
      <c r="B95"/>
      <c r="C95"/>
      <c r="D95"/>
      <c r="E95"/>
      <c r="F95"/>
    </row>
    <row r="96" spans="1:6" ht="15" x14ac:dyDescent="0.25">
      <c r="A96"/>
      <c r="B96"/>
      <c r="C96"/>
      <c r="D96"/>
      <c r="E96"/>
      <c r="F96"/>
    </row>
    <row r="97" spans="1:6" ht="15" x14ac:dyDescent="0.25">
      <c r="A97"/>
      <c r="B97"/>
      <c r="C97"/>
      <c r="D97"/>
      <c r="E97"/>
      <c r="F97"/>
    </row>
    <row r="98" spans="1:6" ht="15" x14ac:dyDescent="0.25">
      <c r="A98"/>
      <c r="B98"/>
      <c r="C98"/>
      <c r="D98"/>
      <c r="E98"/>
      <c r="F98"/>
    </row>
    <row r="99" spans="1:6" ht="15" x14ac:dyDescent="0.25">
      <c r="A99"/>
      <c r="B99"/>
      <c r="C99"/>
      <c r="D99"/>
      <c r="E99"/>
      <c r="F99"/>
    </row>
    <row r="100" spans="1:6" ht="15" x14ac:dyDescent="0.25">
      <c r="A100"/>
      <c r="B100"/>
      <c r="C100"/>
      <c r="D100"/>
      <c r="E100"/>
      <c r="F100"/>
    </row>
    <row r="101" spans="1:6" ht="15" x14ac:dyDescent="0.25">
      <c r="A101"/>
      <c r="B101"/>
      <c r="C101"/>
      <c r="D101"/>
      <c r="E101"/>
      <c r="F101"/>
    </row>
    <row r="102" spans="1:6" ht="15" x14ac:dyDescent="0.25">
      <c r="A102"/>
      <c r="B102"/>
      <c r="C102"/>
      <c r="D102"/>
      <c r="E102"/>
      <c r="F102"/>
    </row>
    <row r="103" spans="1:6" ht="15" x14ac:dyDescent="0.25">
      <c r="A103"/>
      <c r="B103"/>
      <c r="C103"/>
      <c r="D103"/>
      <c r="E103"/>
      <c r="F103"/>
    </row>
    <row r="104" spans="1:6" ht="15" x14ac:dyDescent="0.25">
      <c r="A104"/>
      <c r="B104"/>
      <c r="C104"/>
      <c r="D104"/>
      <c r="E104"/>
      <c r="F104"/>
    </row>
    <row r="105" spans="1:6" ht="15" x14ac:dyDescent="0.25">
      <c r="A105"/>
      <c r="B105"/>
      <c r="C105"/>
      <c r="D105"/>
      <c r="E105"/>
      <c r="F105"/>
    </row>
    <row r="106" spans="1:6" ht="15" x14ac:dyDescent="0.25">
      <c r="A106"/>
      <c r="B106"/>
      <c r="C106"/>
      <c r="D106"/>
      <c r="E106"/>
      <c r="F106"/>
    </row>
    <row r="107" spans="1:6" ht="15" x14ac:dyDescent="0.25">
      <c r="A107"/>
      <c r="B107"/>
      <c r="C107"/>
      <c r="D107"/>
      <c r="E107"/>
      <c r="F107"/>
    </row>
    <row r="108" spans="1:6" ht="15" x14ac:dyDescent="0.25">
      <c r="A108"/>
      <c r="B108"/>
      <c r="C108"/>
      <c r="D108"/>
      <c r="E108"/>
      <c r="F108"/>
    </row>
    <row r="109" spans="1:6" ht="15" x14ac:dyDescent="0.25">
      <c r="A109"/>
      <c r="B109"/>
      <c r="C109"/>
      <c r="D109"/>
      <c r="E109"/>
      <c r="F109"/>
    </row>
    <row r="110" spans="1:6" ht="15" x14ac:dyDescent="0.25">
      <c r="A110"/>
      <c r="B110"/>
      <c r="C110"/>
      <c r="D110"/>
      <c r="E110"/>
      <c r="F110"/>
    </row>
    <row r="111" spans="1:6" ht="15" x14ac:dyDescent="0.25">
      <c r="A111"/>
      <c r="B111"/>
      <c r="C111"/>
      <c r="D111"/>
      <c r="E111"/>
      <c r="F111"/>
    </row>
    <row r="112" spans="1:6" ht="15" x14ac:dyDescent="0.25">
      <c r="A112"/>
      <c r="B112"/>
      <c r="C112"/>
      <c r="D112"/>
      <c r="E112"/>
      <c r="F112"/>
    </row>
    <row r="113" spans="1:6" ht="15" x14ac:dyDescent="0.25">
      <c r="A113"/>
      <c r="B113"/>
      <c r="C113"/>
      <c r="D113"/>
      <c r="E113"/>
      <c r="F113"/>
    </row>
    <row r="114" spans="1:6" ht="15" x14ac:dyDescent="0.25">
      <c r="A114"/>
      <c r="B114"/>
      <c r="C114"/>
      <c r="D114"/>
      <c r="E114"/>
      <c r="F114"/>
    </row>
    <row r="115" spans="1:6" ht="15" x14ac:dyDescent="0.25">
      <c r="A115"/>
      <c r="B115"/>
      <c r="C115"/>
      <c r="D115"/>
      <c r="E115"/>
      <c r="F115"/>
    </row>
    <row r="116" spans="1:6" ht="15" x14ac:dyDescent="0.25">
      <c r="A116"/>
      <c r="B116"/>
      <c r="C116"/>
      <c r="D116"/>
      <c r="E116"/>
      <c r="F116"/>
    </row>
    <row r="117" spans="1:6" ht="15" x14ac:dyDescent="0.25">
      <c r="A117"/>
      <c r="B117"/>
      <c r="C117"/>
      <c r="D117"/>
      <c r="E117"/>
      <c r="F117"/>
    </row>
    <row r="118" spans="1:6" ht="15" x14ac:dyDescent="0.25">
      <c r="A118"/>
      <c r="B118"/>
      <c r="C118"/>
      <c r="D118"/>
      <c r="E118"/>
      <c r="F118"/>
    </row>
    <row r="119" spans="1:6" ht="15" x14ac:dyDescent="0.25">
      <c r="A119"/>
      <c r="B119"/>
      <c r="C119"/>
      <c r="D119"/>
      <c r="E119"/>
      <c r="F119"/>
    </row>
    <row r="120" spans="1:6" ht="15" x14ac:dyDescent="0.25">
      <c r="A120"/>
      <c r="B120"/>
      <c r="C120"/>
      <c r="D120"/>
      <c r="E120"/>
      <c r="F120"/>
    </row>
    <row r="121" spans="1:6" ht="15" x14ac:dyDescent="0.25">
      <c r="A121"/>
      <c r="B121"/>
      <c r="C121"/>
      <c r="D121"/>
      <c r="E121"/>
      <c r="F121"/>
    </row>
    <row r="122" spans="1:6" ht="15" x14ac:dyDescent="0.25">
      <c r="A122"/>
      <c r="B122"/>
      <c r="C122"/>
      <c r="D122"/>
      <c r="E122"/>
      <c r="F122"/>
    </row>
    <row r="123" spans="1:6" ht="15" x14ac:dyDescent="0.25">
      <c r="A123"/>
      <c r="B123"/>
      <c r="C123"/>
      <c r="D123"/>
      <c r="E123"/>
      <c r="F123"/>
    </row>
    <row r="124" spans="1:6" ht="15" x14ac:dyDescent="0.25">
      <c r="A124"/>
      <c r="B124"/>
      <c r="C124"/>
      <c r="D124"/>
      <c r="E124"/>
      <c r="F124"/>
    </row>
    <row r="125" spans="1:6" ht="15" x14ac:dyDescent="0.25">
      <c r="A125"/>
      <c r="B125"/>
      <c r="C125"/>
      <c r="D125"/>
      <c r="E125"/>
      <c r="F125"/>
    </row>
    <row r="126" spans="1:6" ht="15" x14ac:dyDescent="0.25">
      <c r="A126"/>
      <c r="B126"/>
      <c r="C126"/>
      <c r="D126"/>
      <c r="E126"/>
      <c r="F126"/>
    </row>
    <row r="127" spans="1:6" ht="15" x14ac:dyDescent="0.25">
      <c r="A127"/>
      <c r="B127"/>
      <c r="C127"/>
      <c r="D127"/>
      <c r="E127"/>
      <c r="F127"/>
    </row>
    <row r="128" spans="1:6" ht="15" x14ac:dyDescent="0.25">
      <c r="A128"/>
      <c r="B128"/>
      <c r="C128"/>
      <c r="D128"/>
      <c r="E128"/>
      <c r="F128"/>
    </row>
    <row r="129" spans="1:6" ht="15" x14ac:dyDescent="0.25">
      <c r="A129"/>
      <c r="B129"/>
      <c r="C129"/>
      <c r="D129"/>
      <c r="E129"/>
      <c r="F129"/>
    </row>
    <row r="130" spans="1:6" ht="15" x14ac:dyDescent="0.25">
      <c r="A130"/>
      <c r="B130"/>
      <c r="C130"/>
      <c r="D130"/>
      <c r="E130"/>
      <c r="F130"/>
    </row>
    <row r="131" spans="1:6" ht="15" x14ac:dyDescent="0.25">
      <c r="A131"/>
      <c r="B131"/>
      <c r="C131"/>
      <c r="D131"/>
      <c r="E131"/>
      <c r="F131"/>
    </row>
    <row r="132" spans="1:6" ht="15" x14ac:dyDescent="0.25">
      <c r="A132"/>
      <c r="B132"/>
      <c r="C132"/>
      <c r="D132"/>
      <c r="E132"/>
      <c r="F132"/>
    </row>
    <row r="133" spans="1:6" ht="15" x14ac:dyDescent="0.25">
      <c r="A133"/>
      <c r="B133"/>
      <c r="C133"/>
      <c r="D133"/>
      <c r="E133"/>
      <c r="F133"/>
    </row>
    <row r="134" spans="1:6" ht="15" x14ac:dyDescent="0.25">
      <c r="A134"/>
      <c r="B134"/>
      <c r="C134"/>
      <c r="D134"/>
      <c r="E134"/>
      <c r="F134"/>
    </row>
    <row r="135" spans="1:6" ht="15" x14ac:dyDescent="0.25">
      <c r="A135"/>
      <c r="B135"/>
      <c r="C135"/>
      <c r="D135"/>
      <c r="E135"/>
      <c r="F135"/>
    </row>
    <row r="136" spans="1:6" ht="15" x14ac:dyDescent="0.25">
      <c r="A136"/>
      <c r="B136"/>
      <c r="C136"/>
      <c r="D136"/>
      <c r="E136"/>
      <c r="F136"/>
    </row>
    <row r="137" spans="1:6" ht="15" x14ac:dyDescent="0.25">
      <c r="A137"/>
      <c r="B137"/>
      <c r="C137"/>
      <c r="D137"/>
      <c r="E137"/>
      <c r="F137"/>
    </row>
    <row r="138" spans="1:6" ht="15" x14ac:dyDescent="0.25">
      <c r="A138"/>
      <c r="B138"/>
      <c r="C138"/>
      <c r="D138"/>
      <c r="E138"/>
      <c r="F138"/>
    </row>
    <row r="139" spans="1:6" ht="15" x14ac:dyDescent="0.25">
      <c r="A139"/>
      <c r="B139"/>
      <c r="C139"/>
      <c r="D139"/>
      <c r="E139"/>
      <c r="F139"/>
    </row>
    <row r="140" spans="1:6" ht="15" x14ac:dyDescent="0.25">
      <c r="A140"/>
      <c r="B140"/>
      <c r="C140"/>
      <c r="D140"/>
      <c r="E140"/>
      <c r="F140"/>
    </row>
    <row r="141" spans="1:6" ht="15" x14ac:dyDescent="0.25">
      <c r="A141"/>
      <c r="B141"/>
      <c r="C141"/>
      <c r="D141"/>
      <c r="E141"/>
      <c r="F141"/>
    </row>
    <row r="142" spans="1:6" ht="15" x14ac:dyDescent="0.25">
      <c r="A142"/>
      <c r="B142"/>
      <c r="C142"/>
      <c r="D142"/>
      <c r="E142"/>
      <c r="F142"/>
    </row>
    <row r="143" spans="1:6" ht="15" x14ac:dyDescent="0.25">
      <c r="A143"/>
      <c r="B143"/>
      <c r="C143"/>
      <c r="D143"/>
      <c r="E143"/>
      <c r="F143"/>
    </row>
    <row r="144" spans="1:6" ht="15" x14ac:dyDescent="0.25">
      <c r="A144"/>
      <c r="B144"/>
      <c r="C144"/>
      <c r="D144"/>
      <c r="E144"/>
      <c r="F144"/>
    </row>
    <row r="145" spans="1:6" ht="15" x14ac:dyDescent="0.25">
      <c r="A145"/>
      <c r="B145"/>
      <c r="C145"/>
      <c r="D145"/>
      <c r="E145"/>
      <c r="F145"/>
    </row>
    <row r="146" spans="1:6" ht="15" x14ac:dyDescent="0.25">
      <c r="A146"/>
      <c r="B146"/>
      <c r="C146"/>
      <c r="D146"/>
      <c r="E146"/>
      <c r="F146"/>
    </row>
    <row r="147" spans="1:6" ht="15" x14ac:dyDescent="0.25">
      <c r="A147"/>
      <c r="B147"/>
      <c r="C147"/>
      <c r="D147"/>
      <c r="E147"/>
      <c r="F147"/>
    </row>
    <row r="148" spans="1:6" ht="15" x14ac:dyDescent="0.25">
      <c r="A148"/>
      <c r="B148"/>
      <c r="C148"/>
      <c r="D148"/>
      <c r="E148"/>
      <c r="F148"/>
    </row>
    <row r="149" spans="1:6" ht="15" x14ac:dyDescent="0.25">
      <c r="A149"/>
      <c r="B149"/>
      <c r="C149"/>
      <c r="D149"/>
      <c r="E149"/>
      <c r="F149"/>
    </row>
    <row r="150" spans="1:6" ht="15" x14ac:dyDescent="0.25">
      <c r="A150"/>
      <c r="B150"/>
      <c r="C150"/>
      <c r="D150"/>
      <c r="E150"/>
      <c r="F150"/>
    </row>
    <row r="151" spans="1:6" ht="15" x14ac:dyDescent="0.25">
      <c r="A151"/>
      <c r="B151"/>
      <c r="C151"/>
      <c r="D151"/>
      <c r="E151"/>
      <c r="F151"/>
    </row>
    <row r="152" spans="1:6" ht="15" x14ac:dyDescent="0.25">
      <c r="A152"/>
      <c r="B152"/>
      <c r="C152"/>
      <c r="D152"/>
      <c r="E152"/>
      <c r="F152"/>
    </row>
    <row r="153" spans="1:6" ht="15" x14ac:dyDescent="0.25">
      <c r="A153"/>
      <c r="B153"/>
      <c r="C153"/>
      <c r="D153"/>
      <c r="E153"/>
      <c r="F153"/>
    </row>
    <row r="154" spans="1:6" ht="15" x14ac:dyDescent="0.25">
      <c r="A154"/>
      <c r="B154"/>
      <c r="C154"/>
      <c r="D154"/>
      <c r="E154"/>
      <c r="F154"/>
    </row>
    <row r="155" spans="1:6" ht="15" x14ac:dyDescent="0.25">
      <c r="A155"/>
      <c r="B155"/>
      <c r="C155"/>
      <c r="D155"/>
      <c r="E155"/>
      <c r="F155"/>
    </row>
    <row r="156" spans="1:6" ht="15" x14ac:dyDescent="0.25">
      <c r="A156"/>
      <c r="B156"/>
      <c r="C156"/>
      <c r="D156"/>
      <c r="E156"/>
      <c r="F156"/>
    </row>
    <row r="157" spans="1:6" ht="15" x14ac:dyDescent="0.25">
      <c r="A157"/>
      <c r="B157"/>
      <c r="C157"/>
      <c r="D157"/>
      <c r="E157"/>
      <c r="F157"/>
    </row>
    <row r="158" spans="1:6" ht="15" x14ac:dyDescent="0.25">
      <c r="A158"/>
      <c r="B158"/>
      <c r="C158"/>
      <c r="D158"/>
      <c r="E158"/>
      <c r="F158"/>
    </row>
    <row r="159" spans="1:6" ht="15" x14ac:dyDescent="0.25">
      <c r="A159"/>
      <c r="B159"/>
      <c r="C159"/>
      <c r="D159"/>
      <c r="E159"/>
      <c r="F159"/>
    </row>
    <row r="160" spans="1:6" ht="15" x14ac:dyDescent="0.25">
      <c r="A160"/>
      <c r="B160"/>
      <c r="C160"/>
      <c r="D160"/>
      <c r="E160"/>
      <c r="F160"/>
    </row>
    <row r="161" spans="1:6" ht="15" x14ac:dyDescent="0.25">
      <c r="A161"/>
      <c r="B161"/>
      <c r="C161"/>
      <c r="D161"/>
      <c r="E161"/>
      <c r="F161"/>
    </row>
    <row r="162" spans="1:6" ht="15" x14ac:dyDescent="0.25">
      <c r="A162"/>
      <c r="B162"/>
      <c r="C162"/>
      <c r="D162"/>
      <c r="E162"/>
      <c r="F162"/>
    </row>
    <row r="163" spans="1:6" ht="15" x14ac:dyDescent="0.25">
      <c r="A163"/>
      <c r="B163"/>
      <c r="C163"/>
      <c r="D163"/>
      <c r="E163"/>
      <c r="F163"/>
    </row>
    <row r="164" spans="1:6" ht="15" x14ac:dyDescent="0.25">
      <c r="A164"/>
      <c r="B164"/>
      <c r="C164"/>
      <c r="D164"/>
      <c r="E164"/>
      <c r="F164"/>
    </row>
    <row r="165" spans="1:6" ht="15" x14ac:dyDescent="0.25">
      <c r="A165"/>
      <c r="B165"/>
      <c r="C165"/>
      <c r="D165"/>
      <c r="E165"/>
      <c r="F165"/>
    </row>
    <row r="166" spans="1:6" ht="15" x14ac:dyDescent="0.25">
      <c r="A166"/>
      <c r="B166"/>
      <c r="C166"/>
      <c r="D166"/>
      <c r="E166"/>
      <c r="F166"/>
    </row>
    <row r="167" spans="1:6" ht="15" x14ac:dyDescent="0.25">
      <c r="A167"/>
      <c r="B167"/>
      <c r="C167"/>
      <c r="D167"/>
      <c r="E167"/>
      <c r="F167"/>
    </row>
    <row r="168" spans="1:6" ht="15" x14ac:dyDescent="0.25">
      <c r="A168"/>
      <c r="B168"/>
      <c r="C168"/>
      <c r="D168"/>
      <c r="E168"/>
      <c r="F168"/>
    </row>
    <row r="169" spans="1:6" ht="15" x14ac:dyDescent="0.25">
      <c r="A169"/>
      <c r="B169"/>
      <c r="C169"/>
      <c r="D169"/>
      <c r="E169"/>
      <c r="F169"/>
    </row>
    <row r="170" spans="1:6" ht="15" x14ac:dyDescent="0.25">
      <c r="A170"/>
      <c r="B170"/>
      <c r="C170"/>
      <c r="D170"/>
      <c r="E170"/>
      <c r="F170"/>
    </row>
    <row r="171" spans="1:6" ht="15" x14ac:dyDescent="0.25">
      <c r="A171"/>
      <c r="B171"/>
      <c r="C171"/>
      <c r="D171"/>
      <c r="E171"/>
      <c r="F171"/>
    </row>
    <row r="172" spans="1:6" ht="15" x14ac:dyDescent="0.25">
      <c r="A172"/>
      <c r="B172"/>
      <c r="C172"/>
      <c r="D172"/>
      <c r="E172"/>
      <c r="F172"/>
    </row>
    <row r="173" spans="1:6" ht="15" x14ac:dyDescent="0.25">
      <c r="A173"/>
      <c r="B173"/>
      <c r="C173"/>
      <c r="D173"/>
      <c r="E173"/>
      <c r="F173"/>
    </row>
    <row r="174" spans="1:6" ht="15" x14ac:dyDescent="0.25">
      <c r="A174"/>
      <c r="B174"/>
      <c r="C174"/>
      <c r="D174"/>
      <c r="E174"/>
      <c r="F174"/>
    </row>
    <row r="175" spans="1:6" ht="15" x14ac:dyDescent="0.25">
      <c r="A175"/>
      <c r="B175"/>
      <c r="C175"/>
      <c r="D175"/>
      <c r="E175"/>
      <c r="F175"/>
    </row>
    <row r="176" spans="1:6" ht="15" x14ac:dyDescent="0.25">
      <c r="A176"/>
      <c r="B176"/>
      <c r="C176"/>
      <c r="D176"/>
      <c r="E176"/>
      <c r="F176"/>
    </row>
    <row r="177" spans="1:6" ht="15" x14ac:dyDescent="0.25">
      <c r="A177"/>
      <c r="B177"/>
      <c r="C177"/>
      <c r="D177"/>
      <c r="E177"/>
      <c r="F177"/>
    </row>
    <row r="178" spans="1:6" ht="15" x14ac:dyDescent="0.25">
      <c r="A178"/>
      <c r="B178"/>
      <c r="C178"/>
      <c r="D178"/>
      <c r="E178"/>
      <c r="F178"/>
    </row>
    <row r="179" spans="1:6" ht="15" x14ac:dyDescent="0.25">
      <c r="A179"/>
      <c r="B179"/>
      <c r="C179"/>
      <c r="D179"/>
      <c r="E179"/>
      <c r="F179"/>
    </row>
    <row r="180" spans="1:6" ht="15" x14ac:dyDescent="0.25">
      <c r="A180"/>
      <c r="B180"/>
      <c r="C180"/>
      <c r="D180"/>
      <c r="E180"/>
      <c r="F180"/>
    </row>
    <row r="181" spans="1:6" ht="15" x14ac:dyDescent="0.25">
      <c r="A181"/>
      <c r="B181"/>
      <c r="C181"/>
      <c r="D181"/>
      <c r="E181"/>
      <c r="F181"/>
    </row>
    <row r="182" spans="1:6" ht="15" x14ac:dyDescent="0.25">
      <c r="A182"/>
      <c r="B182"/>
      <c r="C182"/>
      <c r="D182"/>
      <c r="E182"/>
      <c r="F182"/>
    </row>
    <row r="183" spans="1:6" ht="15" x14ac:dyDescent="0.25">
      <c r="A183"/>
      <c r="B183"/>
      <c r="C183"/>
      <c r="D183"/>
      <c r="E183"/>
      <c r="F183"/>
    </row>
    <row r="184" spans="1:6" ht="15" x14ac:dyDescent="0.25">
      <c r="A184"/>
      <c r="B184"/>
      <c r="C184"/>
      <c r="D184"/>
      <c r="E184"/>
      <c r="F184"/>
    </row>
    <row r="185" spans="1:6" ht="15" x14ac:dyDescent="0.25">
      <c r="A185"/>
      <c r="B185"/>
      <c r="C185"/>
      <c r="D185"/>
      <c r="E185"/>
      <c r="F185"/>
    </row>
    <row r="186" spans="1:6" ht="15" x14ac:dyDescent="0.25">
      <c r="A186"/>
      <c r="B186"/>
      <c r="C186"/>
      <c r="D186"/>
      <c r="E186"/>
      <c r="F186"/>
    </row>
    <row r="187" spans="1:6" ht="15" x14ac:dyDescent="0.25">
      <c r="A187"/>
      <c r="B187"/>
      <c r="C187"/>
      <c r="D187"/>
      <c r="E187"/>
      <c r="F187"/>
    </row>
    <row r="188" spans="1:6" ht="15" x14ac:dyDescent="0.25">
      <c r="A188"/>
      <c r="B188"/>
      <c r="C188"/>
      <c r="D188"/>
      <c r="E188"/>
      <c r="F188"/>
    </row>
    <row r="189" spans="1:6" ht="15" x14ac:dyDescent="0.25">
      <c r="A189"/>
      <c r="B189"/>
      <c r="C189"/>
      <c r="D189"/>
      <c r="E189"/>
      <c r="F189"/>
    </row>
    <row r="190" spans="1:6" ht="15" x14ac:dyDescent="0.25">
      <c r="A190"/>
      <c r="B190"/>
      <c r="C190"/>
      <c r="D190"/>
      <c r="E190"/>
      <c r="F190"/>
    </row>
    <row r="191" spans="1:6" ht="15" x14ac:dyDescent="0.25">
      <c r="A191"/>
      <c r="B191"/>
      <c r="C191"/>
      <c r="D191"/>
      <c r="E191"/>
      <c r="F191"/>
    </row>
    <row r="192" spans="1:6" ht="15" x14ac:dyDescent="0.25">
      <c r="A192"/>
      <c r="B192"/>
      <c r="C192"/>
      <c r="D192"/>
      <c r="E192"/>
      <c r="F192"/>
    </row>
    <row r="193" spans="1:6" ht="15" x14ac:dyDescent="0.25">
      <c r="A193"/>
      <c r="B193"/>
      <c r="C193"/>
      <c r="D193"/>
      <c r="E193"/>
      <c r="F193"/>
    </row>
    <row r="194" spans="1:6" ht="15" x14ac:dyDescent="0.25">
      <c r="A194"/>
      <c r="B194"/>
      <c r="C194"/>
      <c r="D194"/>
      <c r="E194"/>
      <c r="F194"/>
    </row>
    <row r="195" spans="1:6" ht="15" x14ac:dyDescent="0.25">
      <c r="A195"/>
      <c r="B195"/>
      <c r="C195"/>
      <c r="D195"/>
      <c r="E195"/>
      <c r="F195"/>
    </row>
    <row r="196" spans="1:6" ht="15" x14ac:dyDescent="0.25">
      <c r="A196"/>
      <c r="B196"/>
      <c r="C196"/>
      <c r="D196"/>
      <c r="E196"/>
      <c r="F196"/>
    </row>
    <row r="197" spans="1:6" ht="15" x14ac:dyDescent="0.25">
      <c r="A197"/>
      <c r="B197"/>
      <c r="C197"/>
      <c r="D197"/>
      <c r="E197"/>
      <c r="F197"/>
    </row>
    <row r="198" spans="1:6" ht="15" x14ac:dyDescent="0.25">
      <c r="A198"/>
      <c r="B198"/>
      <c r="C198"/>
      <c r="D198"/>
      <c r="E198"/>
      <c r="F198"/>
    </row>
    <row r="199" spans="1:6" ht="15" x14ac:dyDescent="0.25">
      <c r="A199"/>
      <c r="B199"/>
      <c r="C199"/>
      <c r="D199"/>
      <c r="E199"/>
      <c r="F199"/>
    </row>
    <row r="200" spans="1:6" ht="15" x14ac:dyDescent="0.25">
      <c r="A200"/>
      <c r="B200"/>
      <c r="C200"/>
      <c r="D200"/>
      <c r="E200"/>
      <c r="F200"/>
    </row>
    <row r="201" spans="1:6" ht="15" x14ac:dyDescent="0.25">
      <c r="A201"/>
      <c r="B201"/>
      <c r="C201"/>
      <c r="D201"/>
      <c r="E201"/>
      <c r="F201"/>
    </row>
    <row r="202" spans="1:6" ht="15" x14ac:dyDescent="0.25">
      <c r="A202"/>
      <c r="B202"/>
      <c r="C202"/>
      <c r="D202"/>
      <c r="E202"/>
      <c r="F202"/>
    </row>
    <row r="203" spans="1:6" ht="15" x14ac:dyDescent="0.25">
      <c r="A203"/>
      <c r="B203"/>
      <c r="C203"/>
      <c r="D203"/>
      <c r="E203"/>
      <c r="F203"/>
    </row>
    <row r="204" spans="1:6" ht="15" x14ac:dyDescent="0.25">
      <c r="A204"/>
      <c r="B204"/>
      <c r="C204"/>
      <c r="D204"/>
      <c r="E204"/>
      <c r="F204"/>
    </row>
    <row r="205" spans="1:6" ht="15" x14ac:dyDescent="0.25">
      <c r="A205"/>
      <c r="B205"/>
      <c r="C205"/>
      <c r="D205"/>
      <c r="E205"/>
      <c r="F205"/>
    </row>
    <row r="206" spans="1:6" ht="15" x14ac:dyDescent="0.25">
      <c r="A206"/>
      <c r="B206"/>
      <c r="C206"/>
      <c r="D206"/>
      <c r="E206"/>
      <c r="F206"/>
    </row>
    <row r="207" spans="1:6" ht="15" x14ac:dyDescent="0.25">
      <c r="A207"/>
      <c r="B207"/>
      <c r="C207"/>
      <c r="D207"/>
      <c r="E207"/>
      <c r="F207"/>
    </row>
    <row r="208" spans="1:6" ht="15" x14ac:dyDescent="0.25">
      <c r="A208"/>
      <c r="B208"/>
      <c r="C208"/>
      <c r="D208"/>
      <c r="E208"/>
      <c r="F208"/>
    </row>
    <row r="209" spans="1:6" ht="15" x14ac:dyDescent="0.25">
      <c r="A209"/>
      <c r="B209"/>
      <c r="C209"/>
      <c r="D209"/>
      <c r="E209"/>
      <c r="F209"/>
    </row>
    <row r="210" spans="1:6" ht="15" x14ac:dyDescent="0.25">
      <c r="A210"/>
      <c r="B210"/>
      <c r="C210"/>
      <c r="D210"/>
      <c r="E210"/>
      <c r="F210"/>
    </row>
    <row r="211" spans="1:6" ht="15" x14ac:dyDescent="0.25">
      <c r="A211"/>
      <c r="B211"/>
      <c r="C211"/>
      <c r="D211"/>
      <c r="E211"/>
      <c r="F211"/>
    </row>
    <row r="212" spans="1:6" ht="15" x14ac:dyDescent="0.25">
      <c r="A212"/>
      <c r="B212"/>
      <c r="C212"/>
      <c r="D212"/>
      <c r="E212"/>
      <c r="F212"/>
    </row>
    <row r="213" spans="1:6" ht="15" x14ac:dyDescent="0.25">
      <c r="A213"/>
      <c r="B213"/>
      <c r="C213"/>
      <c r="D213"/>
      <c r="E213"/>
      <c r="F213"/>
    </row>
    <row r="214" spans="1:6" ht="15" x14ac:dyDescent="0.25">
      <c r="A214"/>
      <c r="B214"/>
      <c r="C214"/>
      <c r="D214"/>
      <c r="E214"/>
      <c r="F214"/>
    </row>
    <row r="215" spans="1:6" ht="15" x14ac:dyDescent="0.25">
      <c r="A215"/>
      <c r="B215"/>
      <c r="C215"/>
      <c r="D215"/>
      <c r="E215"/>
      <c r="F215"/>
    </row>
    <row r="216" spans="1:6" ht="15" x14ac:dyDescent="0.25">
      <c r="A216"/>
      <c r="B216"/>
      <c r="C216"/>
      <c r="D216"/>
      <c r="E216"/>
      <c r="F216"/>
    </row>
    <row r="217" spans="1:6" ht="15" x14ac:dyDescent="0.25">
      <c r="A217"/>
      <c r="B217"/>
      <c r="C217"/>
      <c r="D217"/>
      <c r="E217"/>
      <c r="F217"/>
    </row>
    <row r="218" spans="1:6" ht="15" x14ac:dyDescent="0.25">
      <c r="A218"/>
      <c r="B218"/>
      <c r="C218"/>
      <c r="D218"/>
      <c r="E218"/>
      <c r="F218"/>
    </row>
    <row r="219" spans="1:6" ht="15" x14ac:dyDescent="0.25">
      <c r="A219"/>
      <c r="B219"/>
      <c r="C219"/>
      <c r="D219"/>
      <c r="E219"/>
      <c r="F219"/>
    </row>
    <row r="220" spans="1:6" ht="15" x14ac:dyDescent="0.25">
      <c r="A220"/>
      <c r="B220"/>
      <c r="C220"/>
      <c r="D220"/>
      <c r="E220"/>
      <c r="F220"/>
    </row>
    <row r="221" spans="1:6" ht="15" x14ac:dyDescent="0.25">
      <c r="A221"/>
      <c r="B221"/>
      <c r="C221"/>
      <c r="D221"/>
      <c r="E221"/>
      <c r="F221"/>
    </row>
    <row r="222" spans="1:6" ht="15" x14ac:dyDescent="0.25">
      <c r="A222"/>
      <c r="B222"/>
      <c r="C222"/>
      <c r="D222"/>
      <c r="E222"/>
      <c r="F222"/>
    </row>
    <row r="223" spans="1:6" ht="15" x14ac:dyDescent="0.25">
      <c r="A223"/>
      <c r="B223"/>
      <c r="C223"/>
      <c r="D223"/>
      <c r="E223"/>
      <c r="F223"/>
    </row>
    <row r="224" spans="1:6" ht="15" x14ac:dyDescent="0.25">
      <c r="A224"/>
      <c r="B224"/>
      <c r="C224"/>
      <c r="D224"/>
      <c r="E224"/>
      <c r="F224"/>
    </row>
    <row r="225" spans="1:6" ht="15" x14ac:dyDescent="0.25">
      <c r="A225"/>
      <c r="B225"/>
      <c r="C225"/>
      <c r="D225"/>
      <c r="E225"/>
      <c r="F225"/>
    </row>
    <row r="226" spans="1:6" ht="15" x14ac:dyDescent="0.25">
      <c r="A226"/>
      <c r="B226"/>
      <c r="C226"/>
      <c r="D226"/>
      <c r="E226"/>
      <c r="F226"/>
    </row>
    <row r="227" spans="1:6" ht="15" x14ac:dyDescent="0.25">
      <c r="A227"/>
      <c r="B227"/>
      <c r="C227"/>
      <c r="D227"/>
      <c r="E227"/>
      <c r="F227"/>
    </row>
    <row r="228" spans="1:6" ht="15" x14ac:dyDescent="0.25">
      <c r="A228"/>
      <c r="B228"/>
      <c r="C228"/>
      <c r="D228"/>
      <c r="E228"/>
      <c r="F228"/>
    </row>
    <row r="229" spans="1:6" ht="15" x14ac:dyDescent="0.25">
      <c r="A229"/>
      <c r="B229"/>
      <c r="C229"/>
      <c r="D229"/>
      <c r="E229"/>
      <c r="F229"/>
    </row>
    <row r="230" spans="1:6" ht="15" x14ac:dyDescent="0.25">
      <c r="A230"/>
      <c r="B230"/>
      <c r="C230"/>
      <c r="D230"/>
      <c r="E230"/>
      <c r="F230"/>
    </row>
    <row r="231" spans="1:6" ht="15" x14ac:dyDescent="0.25">
      <c r="A231"/>
      <c r="B231"/>
      <c r="C231"/>
      <c r="D231"/>
      <c r="E231"/>
      <c r="F231"/>
    </row>
    <row r="232" spans="1:6" ht="15" x14ac:dyDescent="0.25">
      <c r="A232"/>
      <c r="B232"/>
      <c r="C232"/>
      <c r="D232"/>
      <c r="E232"/>
      <c r="F232"/>
    </row>
    <row r="233" spans="1:6" ht="15" x14ac:dyDescent="0.25">
      <c r="A233"/>
      <c r="B233"/>
      <c r="C233"/>
      <c r="D233"/>
      <c r="E233"/>
      <c r="F233"/>
    </row>
    <row r="234" spans="1:6" ht="15" x14ac:dyDescent="0.25">
      <c r="A234"/>
      <c r="B234"/>
      <c r="C234"/>
      <c r="D234"/>
      <c r="E234"/>
      <c r="F234"/>
    </row>
    <row r="235" spans="1:6" ht="15" x14ac:dyDescent="0.25">
      <c r="A235"/>
      <c r="B235"/>
      <c r="C235"/>
      <c r="D235"/>
      <c r="E235"/>
      <c r="F235"/>
    </row>
    <row r="236" spans="1:6" ht="15" x14ac:dyDescent="0.25">
      <c r="A236"/>
      <c r="B236"/>
      <c r="C236"/>
      <c r="D236"/>
      <c r="E236"/>
      <c r="F236"/>
    </row>
    <row r="237" spans="1:6" ht="15" x14ac:dyDescent="0.25">
      <c r="A237"/>
      <c r="B237"/>
      <c r="C237"/>
      <c r="D237"/>
      <c r="E237"/>
      <c r="F237"/>
    </row>
    <row r="238" spans="1:6" ht="15" x14ac:dyDescent="0.25">
      <c r="A238"/>
      <c r="B238"/>
      <c r="C238"/>
      <c r="D238"/>
      <c r="E238"/>
      <c r="F238"/>
    </row>
    <row r="239" spans="1:6" ht="15" x14ac:dyDescent="0.25">
      <c r="A239"/>
      <c r="B239"/>
      <c r="C239"/>
      <c r="D239"/>
      <c r="E239"/>
      <c r="F239"/>
    </row>
    <row r="240" spans="1:6" ht="15" x14ac:dyDescent="0.25">
      <c r="A240"/>
      <c r="B240"/>
      <c r="C240"/>
      <c r="D240"/>
      <c r="E240"/>
      <c r="F240"/>
    </row>
    <row r="241" spans="1:6" ht="15" x14ac:dyDescent="0.25">
      <c r="A241"/>
      <c r="B241"/>
      <c r="C241"/>
      <c r="D241"/>
      <c r="E241"/>
      <c r="F241"/>
    </row>
    <row r="242" spans="1:6" ht="15" x14ac:dyDescent="0.25">
      <c r="A242"/>
      <c r="B242"/>
      <c r="C242"/>
      <c r="D242"/>
      <c r="E242"/>
      <c r="F242"/>
    </row>
    <row r="243" spans="1:6" ht="15" x14ac:dyDescent="0.25">
      <c r="A243"/>
      <c r="B243"/>
      <c r="C243"/>
      <c r="D243"/>
      <c r="E243"/>
      <c r="F243"/>
    </row>
    <row r="244" spans="1:6" ht="15" x14ac:dyDescent="0.25">
      <c r="A244"/>
      <c r="B244"/>
      <c r="C244"/>
      <c r="D244"/>
      <c r="E244"/>
      <c r="F244"/>
    </row>
    <row r="245" spans="1:6" ht="15" x14ac:dyDescent="0.25">
      <c r="A245"/>
      <c r="B245"/>
      <c r="C245"/>
      <c r="D245"/>
      <c r="E245"/>
      <c r="F245"/>
    </row>
    <row r="246" spans="1:6" ht="15" x14ac:dyDescent="0.25">
      <c r="A246"/>
      <c r="B246"/>
      <c r="C246"/>
      <c r="D246"/>
      <c r="E246"/>
      <c r="F246"/>
    </row>
    <row r="247" spans="1:6" ht="15" x14ac:dyDescent="0.25">
      <c r="A247"/>
      <c r="B247"/>
      <c r="C247"/>
      <c r="D247"/>
      <c r="E247"/>
      <c r="F247"/>
    </row>
    <row r="248" spans="1:6" ht="15" x14ac:dyDescent="0.25">
      <c r="A248"/>
      <c r="B248"/>
      <c r="C248"/>
      <c r="D248"/>
      <c r="E248"/>
      <c r="F248"/>
    </row>
    <row r="249" spans="1:6" ht="15" x14ac:dyDescent="0.25">
      <c r="A249"/>
      <c r="B249"/>
      <c r="C249"/>
      <c r="D249"/>
      <c r="E249"/>
      <c r="F249"/>
    </row>
    <row r="250" spans="1:6" ht="15" x14ac:dyDescent="0.25">
      <c r="A250"/>
      <c r="B250"/>
      <c r="C250"/>
      <c r="D250"/>
      <c r="E250"/>
      <c r="F250"/>
    </row>
    <row r="251" spans="1:6" ht="15" x14ac:dyDescent="0.25">
      <c r="A251"/>
      <c r="B251"/>
      <c r="C251"/>
      <c r="D251"/>
      <c r="E251"/>
      <c r="F251"/>
    </row>
    <row r="252" spans="1:6" ht="15" x14ac:dyDescent="0.25">
      <c r="A252"/>
      <c r="B252"/>
      <c r="C252"/>
      <c r="D252"/>
      <c r="E252"/>
      <c r="F252"/>
    </row>
    <row r="253" spans="1:6" ht="15" x14ac:dyDescent="0.25">
      <c r="A253"/>
      <c r="B253"/>
      <c r="C253"/>
      <c r="D253"/>
      <c r="E253"/>
      <c r="F253"/>
    </row>
    <row r="254" spans="1:6" ht="15" x14ac:dyDescent="0.25">
      <c r="A254"/>
      <c r="B254"/>
      <c r="C254"/>
      <c r="D254"/>
      <c r="E254"/>
      <c r="F254"/>
    </row>
    <row r="255" spans="1:6" ht="15" x14ac:dyDescent="0.25">
      <c r="A255"/>
      <c r="B255"/>
      <c r="C255"/>
      <c r="D255"/>
      <c r="E255"/>
      <c r="F255"/>
    </row>
    <row r="256" spans="1:6" ht="15" x14ac:dyDescent="0.25">
      <c r="A256"/>
      <c r="B256"/>
      <c r="C256"/>
      <c r="D256"/>
      <c r="E256"/>
      <c r="F256"/>
    </row>
    <row r="257" spans="1:6" ht="15" x14ac:dyDescent="0.25">
      <c r="A257"/>
      <c r="B257"/>
      <c r="C257"/>
      <c r="D257"/>
      <c r="E257"/>
      <c r="F257"/>
    </row>
    <row r="258" spans="1:6" ht="15" x14ac:dyDescent="0.25">
      <c r="A258"/>
      <c r="B258"/>
      <c r="C258"/>
      <c r="D258"/>
      <c r="E258"/>
      <c r="F258"/>
    </row>
    <row r="259" spans="1:6" ht="15" x14ac:dyDescent="0.25">
      <c r="A259"/>
      <c r="B259"/>
      <c r="C259"/>
      <c r="D259"/>
      <c r="E259"/>
      <c r="F259"/>
    </row>
    <row r="260" spans="1:6" ht="15" x14ac:dyDescent="0.25">
      <c r="A260"/>
      <c r="B260"/>
      <c r="C260"/>
      <c r="D260"/>
      <c r="E260"/>
      <c r="F260"/>
    </row>
    <row r="261" spans="1:6" ht="15" x14ac:dyDescent="0.25">
      <c r="A261"/>
      <c r="B261"/>
      <c r="C261"/>
      <c r="D261"/>
      <c r="E261"/>
      <c r="F261"/>
    </row>
    <row r="262" spans="1:6" ht="15" x14ac:dyDescent="0.25">
      <c r="A262"/>
      <c r="B262"/>
      <c r="C262"/>
      <c r="D262"/>
      <c r="E262"/>
      <c r="F262"/>
    </row>
    <row r="263" spans="1:6" ht="15" x14ac:dyDescent="0.25">
      <c r="A263"/>
      <c r="B263"/>
      <c r="C263"/>
      <c r="D263"/>
      <c r="E263"/>
      <c r="F263"/>
    </row>
    <row r="264" spans="1:6" ht="15" x14ac:dyDescent="0.25">
      <c r="A264"/>
      <c r="B264"/>
      <c r="C264"/>
      <c r="D264"/>
      <c r="E264"/>
      <c r="F264"/>
    </row>
    <row r="265" spans="1:6" ht="15" x14ac:dyDescent="0.25">
      <c r="A265"/>
      <c r="B265"/>
      <c r="C265"/>
      <c r="D265"/>
      <c r="E265"/>
      <c r="F265"/>
    </row>
    <row r="266" spans="1:6" ht="15" x14ac:dyDescent="0.25">
      <c r="A266"/>
      <c r="B266"/>
      <c r="C266"/>
      <c r="D266"/>
      <c r="E266"/>
      <c r="F266"/>
    </row>
    <row r="267" spans="1:6" ht="15" x14ac:dyDescent="0.25">
      <c r="A267"/>
      <c r="B267"/>
      <c r="C267"/>
      <c r="D267"/>
      <c r="E267"/>
      <c r="F267"/>
    </row>
    <row r="268" spans="1:6" ht="15" x14ac:dyDescent="0.25">
      <c r="A268"/>
      <c r="B268"/>
      <c r="C268"/>
      <c r="D268"/>
      <c r="E268"/>
      <c r="F268"/>
    </row>
    <row r="269" spans="1:6" ht="15" x14ac:dyDescent="0.25">
      <c r="A269"/>
      <c r="B269"/>
      <c r="C269"/>
      <c r="D269"/>
      <c r="E269"/>
      <c r="F269"/>
    </row>
    <row r="270" spans="1:6" ht="15" x14ac:dyDescent="0.25">
      <c r="A270"/>
      <c r="B270"/>
      <c r="C270"/>
      <c r="D270"/>
      <c r="E270"/>
      <c r="F270"/>
    </row>
    <row r="271" spans="1:6" ht="15" x14ac:dyDescent="0.25">
      <c r="A271"/>
      <c r="B271"/>
      <c r="C271"/>
      <c r="D271"/>
      <c r="E271"/>
      <c r="F271"/>
    </row>
    <row r="272" spans="1:6" ht="15" x14ac:dyDescent="0.25">
      <c r="A272"/>
      <c r="B272"/>
      <c r="C272"/>
      <c r="D272"/>
      <c r="E272"/>
      <c r="F272"/>
    </row>
    <row r="273" spans="1:6" ht="15" x14ac:dyDescent="0.25">
      <c r="A273"/>
      <c r="B273"/>
      <c r="C273"/>
      <c r="D273"/>
      <c r="E273"/>
      <c r="F273"/>
    </row>
    <row r="274" spans="1:6" ht="15" x14ac:dyDescent="0.25">
      <c r="A274"/>
      <c r="B274"/>
      <c r="C274"/>
      <c r="D274"/>
      <c r="E274"/>
      <c r="F274"/>
    </row>
    <row r="275" spans="1:6" ht="15" x14ac:dyDescent="0.25">
      <c r="A275"/>
      <c r="B275"/>
      <c r="C275"/>
      <c r="D275"/>
      <c r="E275"/>
      <c r="F275"/>
    </row>
    <row r="276" spans="1:6" ht="15" x14ac:dyDescent="0.25">
      <c r="A276"/>
      <c r="B276"/>
      <c r="C276"/>
      <c r="D276"/>
      <c r="E276"/>
      <c r="F276"/>
    </row>
    <row r="277" spans="1:6" ht="15" x14ac:dyDescent="0.25">
      <c r="A277"/>
      <c r="B277"/>
      <c r="C277"/>
      <c r="D277"/>
      <c r="E277"/>
      <c r="F277"/>
    </row>
    <row r="278" spans="1:6" ht="15" x14ac:dyDescent="0.25">
      <c r="A278"/>
      <c r="B278"/>
      <c r="C278"/>
      <c r="D278"/>
      <c r="E278"/>
      <c r="F278"/>
    </row>
    <row r="279" spans="1:6" ht="15" x14ac:dyDescent="0.25">
      <c r="A279"/>
      <c r="B279"/>
      <c r="C279"/>
      <c r="D279"/>
      <c r="E279"/>
      <c r="F279"/>
    </row>
    <row r="280" spans="1:6" ht="15" x14ac:dyDescent="0.25">
      <c r="A280"/>
      <c r="B280"/>
      <c r="C280"/>
      <c r="D280"/>
      <c r="E280"/>
      <c r="F280"/>
    </row>
    <row r="281" spans="1:6" ht="15" x14ac:dyDescent="0.25">
      <c r="A281"/>
      <c r="B281"/>
      <c r="C281"/>
      <c r="D281"/>
      <c r="E281"/>
      <c r="F281"/>
    </row>
    <row r="282" spans="1:6" ht="15" x14ac:dyDescent="0.25">
      <c r="A282"/>
      <c r="B282"/>
      <c r="C282"/>
      <c r="D282"/>
      <c r="E282"/>
      <c r="F282"/>
    </row>
    <row r="283" spans="1:6" ht="15" x14ac:dyDescent="0.25">
      <c r="A283"/>
      <c r="B283"/>
      <c r="C283"/>
      <c r="D283"/>
      <c r="E283"/>
      <c r="F283"/>
    </row>
    <row r="284" spans="1:6" ht="15" x14ac:dyDescent="0.25">
      <c r="A284"/>
      <c r="B284"/>
      <c r="C284"/>
      <c r="D284"/>
      <c r="E284"/>
      <c r="F284"/>
    </row>
    <row r="285" spans="1:6" ht="15" x14ac:dyDescent="0.25">
      <c r="A285"/>
      <c r="B285"/>
      <c r="C285"/>
      <c r="D285"/>
      <c r="E285"/>
      <c r="F285"/>
    </row>
    <row r="286" spans="1:6" ht="15" x14ac:dyDescent="0.25">
      <c r="A286"/>
      <c r="B286"/>
      <c r="C286"/>
      <c r="D286"/>
      <c r="E286"/>
      <c r="F286"/>
    </row>
    <row r="287" spans="1:6" ht="15" x14ac:dyDescent="0.25">
      <c r="A287"/>
      <c r="B287"/>
      <c r="C287"/>
      <c r="D287"/>
      <c r="E287"/>
      <c r="F287"/>
    </row>
    <row r="288" spans="1:6" ht="15" x14ac:dyDescent="0.25">
      <c r="A288"/>
      <c r="B288"/>
      <c r="C288"/>
      <c r="D288"/>
      <c r="E288"/>
      <c r="F288"/>
    </row>
    <row r="289" spans="1:6" ht="15" x14ac:dyDescent="0.25">
      <c r="A289"/>
      <c r="B289"/>
      <c r="C289"/>
      <c r="D289"/>
      <c r="E289"/>
      <c r="F289"/>
    </row>
    <row r="290" spans="1:6" ht="15" x14ac:dyDescent="0.25">
      <c r="A290"/>
      <c r="B290"/>
      <c r="C290"/>
      <c r="D290"/>
      <c r="E290"/>
      <c r="F290"/>
    </row>
    <row r="291" spans="1:6" ht="15" x14ac:dyDescent="0.25">
      <c r="A291"/>
      <c r="B291"/>
      <c r="C291"/>
      <c r="D291"/>
      <c r="E291"/>
      <c r="F291"/>
    </row>
    <row r="292" spans="1:6" ht="15" x14ac:dyDescent="0.25">
      <c r="A292"/>
      <c r="B292"/>
      <c r="C292"/>
      <c r="D292"/>
      <c r="E292"/>
      <c r="F292"/>
    </row>
    <row r="293" spans="1:6" ht="15" x14ac:dyDescent="0.25">
      <c r="A293"/>
      <c r="B293"/>
      <c r="C293"/>
      <c r="D293"/>
      <c r="E293"/>
      <c r="F293"/>
    </row>
    <row r="294" spans="1:6" ht="15" x14ac:dyDescent="0.25">
      <c r="A294"/>
      <c r="B294"/>
      <c r="C294"/>
      <c r="D294"/>
      <c r="E294"/>
      <c r="F294"/>
    </row>
    <row r="295" spans="1:6" ht="15" x14ac:dyDescent="0.25">
      <c r="A295"/>
      <c r="B295"/>
      <c r="C295"/>
      <c r="D295"/>
      <c r="E295"/>
      <c r="F295"/>
    </row>
    <row r="296" spans="1:6" ht="15" x14ac:dyDescent="0.25">
      <c r="A296"/>
      <c r="B296"/>
      <c r="C296"/>
      <c r="D296"/>
      <c r="E296"/>
      <c r="F296"/>
    </row>
    <row r="297" spans="1:6" ht="15" x14ac:dyDescent="0.25">
      <c r="A297"/>
      <c r="B297"/>
      <c r="C297"/>
      <c r="D297"/>
      <c r="E297"/>
      <c r="F297"/>
    </row>
    <row r="298" spans="1:6" ht="15" x14ac:dyDescent="0.25">
      <c r="A298"/>
      <c r="B298"/>
      <c r="C298"/>
      <c r="D298"/>
      <c r="E298"/>
      <c r="F298"/>
    </row>
    <row r="299" spans="1:6" ht="15" x14ac:dyDescent="0.25">
      <c r="A299"/>
      <c r="B299"/>
      <c r="C299"/>
      <c r="D299"/>
      <c r="E299"/>
      <c r="F299"/>
    </row>
    <row r="300" spans="1:6" ht="15" x14ac:dyDescent="0.25">
      <c r="A300"/>
      <c r="B300"/>
      <c r="C300"/>
      <c r="D300"/>
      <c r="E300"/>
      <c r="F300"/>
    </row>
    <row r="301" spans="1:6" ht="15" x14ac:dyDescent="0.25">
      <c r="A301"/>
      <c r="B301"/>
      <c r="C301"/>
      <c r="D301"/>
      <c r="E301"/>
      <c r="F301"/>
    </row>
    <row r="302" spans="1:6" ht="15" x14ac:dyDescent="0.25">
      <c r="A302"/>
      <c r="B302"/>
      <c r="C302"/>
      <c r="D302"/>
      <c r="E302"/>
      <c r="F302"/>
    </row>
    <row r="303" spans="1:6" ht="15" x14ac:dyDescent="0.25">
      <c r="A303"/>
      <c r="B303"/>
      <c r="C303"/>
      <c r="D303"/>
      <c r="E303"/>
      <c r="F303"/>
    </row>
    <row r="304" spans="1:6" ht="15" x14ac:dyDescent="0.25">
      <c r="A304"/>
      <c r="B304"/>
      <c r="C304"/>
      <c r="D304"/>
      <c r="E304"/>
      <c r="F304"/>
    </row>
    <row r="305" spans="1:6" ht="15" x14ac:dyDescent="0.25">
      <c r="A305"/>
      <c r="B305"/>
      <c r="C305"/>
      <c r="D305"/>
      <c r="E305"/>
      <c r="F305"/>
    </row>
    <row r="306" spans="1:6" ht="15" x14ac:dyDescent="0.25">
      <c r="A306"/>
      <c r="B306"/>
      <c r="C306"/>
      <c r="D306"/>
      <c r="E306"/>
      <c r="F306"/>
    </row>
    <row r="307" spans="1:6" ht="15" x14ac:dyDescent="0.25">
      <c r="A307"/>
      <c r="B307"/>
      <c r="C307"/>
      <c r="D307"/>
      <c r="E307"/>
      <c r="F307"/>
    </row>
    <row r="308" spans="1:6" ht="15" x14ac:dyDescent="0.25">
      <c r="A308"/>
      <c r="B308"/>
      <c r="C308"/>
      <c r="D308"/>
      <c r="E308"/>
      <c r="F308"/>
    </row>
    <row r="309" spans="1:6" ht="15" x14ac:dyDescent="0.25">
      <c r="A309"/>
      <c r="B309"/>
      <c r="C309"/>
      <c r="D309"/>
      <c r="E309"/>
      <c r="F309"/>
    </row>
    <row r="310" spans="1:6" ht="15" x14ac:dyDescent="0.25">
      <c r="A310"/>
      <c r="B310"/>
      <c r="C310"/>
      <c r="D310"/>
      <c r="E310"/>
      <c r="F310"/>
    </row>
    <row r="311" spans="1:6" ht="15" x14ac:dyDescent="0.25">
      <c r="A311"/>
      <c r="B311"/>
      <c r="C311"/>
      <c r="D311"/>
      <c r="E311"/>
      <c r="F311"/>
    </row>
    <row r="312" spans="1:6" ht="15" x14ac:dyDescent="0.25">
      <c r="A312"/>
      <c r="B312"/>
      <c r="C312"/>
      <c r="D312"/>
      <c r="E312"/>
      <c r="F312"/>
    </row>
    <row r="313" spans="1:6" ht="15" x14ac:dyDescent="0.25">
      <c r="A313"/>
      <c r="B313"/>
      <c r="C313"/>
      <c r="D313"/>
      <c r="E313"/>
      <c r="F313"/>
    </row>
    <row r="314" spans="1:6" ht="15" x14ac:dyDescent="0.25">
      <c r="A314"/>
      <c r="B314"/>
      <c r="C314"/>
      <c r="D314"/>
      <c r="E314"/>
      <c r="F314"/>
    </row>
    <row r="315" spans="1:6" ht="15" x14ac:dyDescent="0.25">
      <c r="A315"/>
      <c r="B315"/>
      <c r="C315"/>
      <c r="D315"/>
      <c r="E315"/>
      <c r="F315"/>
    </row>
    <row r="316" spans="1:6" ht="15" x14ac:dyDescent="0.25">
      <c r="A316"/>
      <c r="B316"/>
      <c r="C316"/>
      <c r="D316"/>
      <c r="E316"/>
      <c r="F316"/>
    </row>
    <row r="317" spans="1:6" ht="15" x14ac:dyDescent="0.25">
      <c r="A317"/>
      <c r="B317"/>
      <c r="C317"/>
      <c r="D317"/>
      <c r="E317"/>
      <c r="F317"/>
    </row>
    <row r="318" spans="1:6" ht="15" x14ac:dyDescent="0.25">
      <c r="A318"/>
      <c r="B318"/>
      <c r="C318"/>
      <c r="D318"/>
      <c r="E318"/>
      <c r="F318"/>
    </row>
    <row r="319" spans="1:6" ht="15" x14ac:dyDescent="0.25">
      <c r="A319"/>
      <c r="B319"/>
      <c r="C319"/>
      <c r="D319"/>
      <c r="E319"/>
      <c r="F319"/>
    </row>
    <row r="320" spans="1:6" ht="15" x14ac:dyDescent="0.25">
      <c r="A320"/>
      <c r="B320"/>
      <c r="C320"/>
      <c r="D320"/>
      <c r="E320"/>
      <c r="F320"/>
    </row>
    <row r="321" spans="1:6" ht="15" x14ac:dyDescent="0.25">
      <c r="A321"/>
      <c r="B321"/>
      <c r="C321"/>
      <c r="D321"/>
      <c r="E321"/>
      <c r="F321"/>
    </row>
    <row r="322" spans="1:6" ht="15" x14ac:dyDescent="0.25">
      <c r="A322"/>
      <c r="B322"/>
      <c r="C322"/>
      <c r="D322"/>
      <c r="E322"/>
      <c r="F322"/>
    </row>
    <row r="323" spans="1:6" ht="15" x14ac:dyDescent="0.25">
      <c r="A323"/>
      <c r="B323"/>
      <c r="C323"/>
      <c r="D323"/>
      <c r="E323"/>
      <c r="F323"/>
    </row>
    <row r="324" spans="1:6" ht="15" x14ac:dyDescent="0.25">
      <c r="A324"/>
      <c r="B324"/>
      <c r="C324"/>
      <c r="D324"/>
      <c r="E324"/>
      <c r="F324"/>
    </row>
    <row r="325" spans="1:6" ht="15" x14ac:dyDescent="0.25">
      <c r="A325"/>
      <c r="B325"/>
      <c r="C325"/>
      <c r="D325"/>
      <c r="E325"/>
      <c r="F325"/>
    </row>
    <row r="326" spans="1:6" ht="15" x14ac:dyDescent="0.25">
      <c r="A326"/>
      <c r="B326"/>
      <c r="C326"/>
      <c r="D326"/>
      <c r="E326"/>
      <c r="F326"/>
    </row>
    <row r="327" spans="1:6" ht="15" x14ac:dyDescent="0.25">
      <c r="A327"/>
      <c r="B327"/>
      <c r="C327"/>
      <c r="D327"/>
      <c r="E327"/>
      <c r="F327"/>
    </row>
    <row r="328" spans="1:6" ht="15" x14ac:dyDescent="0.25">
      <c r="A328"/>
      <c r="B328"/>
      <c r="C328"/>
      <c r="D328"/>
      <c r="E328"/>
      <c r="F328"/>
    </row>
    <row r="329" spans="1:6" ht="15" x14ac:dyDescent="0.25">
      <c r="A329"/>
      <c r="B329"/>
      <c r="C329"/>
      <c r="D329"/>
      <c r="E329"/>
      <c r="F329"/>
    </row>
    <row r="330" spans="1:6" ht="15" x14ac:dyDescent="0.25">
      <c r="A330"/>
      <c r="B330"/>
      <c r="C330"/>
      <c r="D330"/>
      <c r="E330"/>
      <c r="F330"/>
    </row>
    <row r="331" spans="1:6" ht="15" x14ac:dyDescent="0.25">
      <c r="A331"/>
      <c r="B331"/>
      <c r="C331"/>
      <c r="D331"/>
      <c r="E331"/>
      <c r="F331"/>
    </row>
    <row r="332" spans="1:6" ht="15" x14ac:dyDescent="0.25">
      <c r="A332"/>
      <c r="B332"/>
      <c r="C332"/>
      <c r="D332"/>
      <c r="E332"/>
      <c r="F332"/>
    </row>
    <row r="333" spans="1:6" ht="15" x14ac:dyDescent="0.25">
      <c r="A333"/>
      <c r="B333"/>
      <c r="C333"/>
      <c r="D333"/>
      <c r="E333"/>
      <c r="F333"/>
    </row>
    <row r="334" spans="1:6" ht="15" x14ac:dyDescent="0.25">
      <c r="A334"/>
      <c r="B334"/>
      <c r="C334"/>
      <c r="D334"/>
      <c r="E334"/>
      <c r="F334"/>
    </row>
    <row r="335" spans="1:6" ht="15" x14ac:dyDescent="0.25">
      <c r="A335"/>
      <c r="B335"/>
      <c r="C335"/>
      <c r="D335"/>
      <c r="E335"/>
      <c r="F335"/>
    </row>
    <row r="336" spans="1:6" ht="15" x14ac:dyDescent="0.25">
      <c r="A336"/>
      <c r="B336"/>
      <c r="C336"/>
      <c r="D336"/>
      <c r="E336"/>
      <c r="F336"/>
    </row>
    <row r="337" spans="1:6" ht="15" x14ac:dyDescent="0.25">
      <c r="A337"/>
      <c r="B337"/>
      <c r="C337"/>
      <c r="D337"/>
      <c r="E337"/>
      <c r="F337"/>
    </row>
    <row r="338" spans="1:6" ht="15" x14ac:dyDescent="0.25">
      <c r="A338"/>
      <c r="B338"/>
      <c r="C338"/>
      <c r="D338"/>
      <c r="E338"/>
      <c r="F338"/>
    </row>
    <row r="339" spans="1:6" ht="15" x14ac:dyDescent="0.25">
      <c r="A339"/>
      <c r="B339"/>
      <c r="C339"/>
      <c r="D339"/>
      <c r="E339"/>
      <c r="F339"/>
    </row>
    <row r="340" spans="1:6" ht="15" x14ac:dyDescent="0.25">
      <c r="A340"/>
      <c r="B340"/>
      <c r="C340"/>
      <c r="D340"/>
      <c r="E340"/>
      <c r="F340"/>
    </row>
    <row r="341" spans="1:6" ht="15" x14ac:dyDescent="0.25">
      <c r="A341"/>
      <c r="B341"/>
      <c r="C341"/>
      <c r="D341"/>
      <c r="E341"/>
      <c r="F341"/>
    </row>
    <row r="342" spans="1:6" ht="15" x14ac:dyDescent="0.25">
      <c r="A342"/>
      <c r="B342"/>
      <c r="C342"/>
      <c r="D342"/>
      <c r="E342"/>
      <c r="F342"/>
    </row>
    <row r="343" spans="1:6" ht="15" x14ac:dyDescent="0.25">
      <c r="A343"/>
      <c r="B343"/>
      <c r="C343"/>
      <c r="D343"/>
      <c r="E343"/>
      <c r="F343"/>
    </row>
    <row r="344" spans="1:6" ht="15" x14ac:dyDescent="0.25">
      <c r="A344"/>
      <c r="B344"/>
      <c r="C344"/>
      <c r="D344"/>
      <c r="E344"/>
      <c r="F344"/>
    </row>
    <row r="345" spans="1:6" ht="15" x14ac:dyDescent="0.25">
      <c r="A345"/>
      <c r="B345"/>
      <c r="C345"/>
      <c r="D345"/>
      <c r="E345"/>
      <c r="F345"/>
    </row>
    <row r="346" spans="1:6" ht="15" x14ac:dyDescent="0.25">
      <c r="A346"/>
      <c r="B346"/>
      <c r="C346"/>
      <c r="D346"/>
      <c r="E346"/>
      <c r="F346"/>
    </row>
    <row r="347" spans="1:6" ht="15" x14ac:dyDescent="0.25">
      <c r="A347"/>
      <c r="B347"/>
      <c r="C347"/>
      <c r="D347"/>
      <c r="E347"/>
      <c r="F347"/>
    </row>
    <row r="348" spans="1:6" ht="15" x14ac:dyDescent="0.25">
      <c r="A348"/>
      <c r="B348"/>
      <c r="C348"/>
      <c r="D348"/>
      <c r="E348"/>
      <c r="F348"/>
    </row>
    <row r="349" spans="1:6" ht="15" x14ac:dyDescent="0.25">
      <c r="A349"/>
      <c r="B349"/>
      <c r="C349"/>
      <c r="D349"/>
      <c r="E349"/>
      <c r="F349"/>
    </row>
    <row r="350" spans="1:6" ht="15" x14ac:dyDescent="0.25">
      <c r="A350"/>
      <c r="B350"/>
      <c r="C350"/>
      <c r="D350"/>
      <c r="E350"/>
      <c r="F350"/>
    </row>
    <row r="351" spans="1:6" ht="15" x14ac:dyDescent="0.25">
      <c r="A351"/>
      <c r="B351"/>
      <c r="C351"/>
      <c r="D351"/>
      <c r="E351"/>
      <c r="F351"/>
    </row>
    <row r="352" spans="1:6" ht="15" x14ac:dyDescent="0.25">
      <c r="A352"/>
      <c r="B352"/>
      <c r="C352"/>
      <c r="D352"/>
      <c r="E352"/>
      <c r="F352"/>
    </row>
    <row r="353" spans="1:6" ht="15" x14ac:dyDescent="0.25">
      <c r="A353"/>
      <c r="B353"/>
      <c r="C353"/>
      <c r="D353"/>
      <c r="E353"/>
      <c r="F353"/>
    </row>
    <row r="354" spans="1:6" ht="15" x14ac:dyDescent="0.25">
      <c r="A354"/>
      <c r="B354"/>
      <c r="C354"/>
      <c r="D354"/>
      <c r="E354"/>
      <c r="F354"/>
    </row>
    <row r="355" spans="1:6" ht="15" x14ac:dyDescent="0.25">
      <c r="A355"/>
      <c r="B355"/>
      <c r="C355"/>
      <c r="D355"/>
      <c r="E355"/>
      <c r="F355"/>
    </row>
    <row r="356" spans="1:6" ht="15" x14ac:dyDescent="0.25">
      <c r="A356"/>
      <c r="B356"/>
      <c r="C356"/>
      <c r="D356"/>
      <c r="E356"/>
      <c r="F356"/>
    </row>
    <row r="357" spans="1:6" ht="15" x14ac:dyDescent="0.25">
      <c r="A357"/>
      <c r="B357"/>
      <c r="C357"/>
      <c r="D357"/>
      <c r="E357"/>
      <c r="F357"/>
    </row>
    <row r="358" spans="1:6" ht="15" x14ac:dyDescent="0.25">
      <c r="A358"/>
      <c r="B358"/>
      <c r="C358"/>
      <c r="D358"/>
      <c r="E358"/>
      <c r="F358"/>
    </row>
    <row r="359" spans="1:6" ht="15" x14ac:dyDescent="0.25">
      <c r="A359"/>
      <c r="B359"/>
      <c r="C359"/>
      <c r="D359"/>
      <c r="E359"/>
      <c r="F359"/>
    </row>
    <row r="360" spans="1:6" ht="15" x14ac:dyDescent="0.25">
      <c r="A360"/>
      <c r="B360"/>
      <c r="C360"/>
      <c r="D360"/>
      <c r="E360"/>
      <c r="F360"/>
    </row>
    <row r="361" spans="1:6" ht="15" x14ac:dyDescent="0.25">
      <c r="A361"/>
      <c r="B361"/>
      <c r="C361"/>
      <c r="D361"/>
      <c r="E361"/>
      <c r="F361"/>
    </row>
    <row r="362" spans="1:6" ht="15" x14ac:dyDescent="0.25">
      <c r="A362"/>
      <c r="B362"/>
      <c r="C362"/>
      <c r="D362"/>
      <c r="E362"/>
      <c r="F362"/>
    </row>
    <row r="363" spans="1:6" ht="15" x14ac:dyDescent="0.25">
      <c r="A363"/>
      <c r="B363"/>
      <c r="C363"/>
      <c r="D363"/>
      <c r="E363"/>
      <c r="F363"/>
    </row>
    <row r="364" spans="1:6" ht="15" x14ac:dyDescent="0.25">
      <c r="A364"/>
      <c r="B364"/>
      <c r="C364"/>
      <c r="D364"/>
      <c r="E364"/>
      <c r="F364"/>
    </row>
    <row r="365" spans="1:6" ht="15" x14ac:dyDescent="0.25">
      <c r="A365"/>
      <c r="B365"/>
      <c r="C365"/>
      <c r="D365"/>
      <c r="E365"/>
      <c r="F365"/>
    </row>
    <row r="366" spans="1:6" ht="15" x14ac:dyDescent="0.25">
      <c r="A366"/>
      <c r="B366"/>
      <c r="C366"/>
      <c r="D366"/>
      <c r="E366"/>
      <c r="F366"/>
    </row>
    <row r="367" spans="1:6" ht="15" x14ac:dyDescent="0.25">
      <c r="A367"/>
      <c r="B367"/>
      <c r="C367"/>
      <c r="D367"/>
      <c r="E367"/>
      <c r="F367"/>
    </row>
    <row r="368" spans="1:6" ht="15" x14ac:dyDescent="0.25">
      <c r="A368"/>
      <c r="B368"/>
      <c r="C368"/>
      <c r="D368"/>
      <c r="E368"/>
      <c r="F368"/>
    </row>
    <row r="369" spans="1:6" ht="15" x14ac:dyDescent="0.25">
      <c r="A369"/>
      <c r="B369"/>
      <c r="C369"/>
      <c r="D369"/>
      <c r="E369"/>
      <c r="F369"/>
    </row>
    <row r="370" spans="1:6" ht="15" x14ac:dyDescent="0.25">
      <c r="A370"/>
      <c r="B370"/>
      <c r="C370"/>
      <c r="D370"/>
      <c r="E370"/>
      <c r="F370"/>
    </row>
    <row r="371" spans="1:6" ht="15" x14ac:dyDescent="0.25">
      <c r="A371"/>
      <c r="B371"/>
      <c r="C371"/>
      <c r="D371"/>
      <c r="E371"/>
      <c r="F371"/>
    </row>
    <row r="372" spans="1:6" ht="15" x14ac:dyDescent="0.25">
      <c r="A372"/>
      <c r="B372"/>
      <c r="C372"/>
      <c r="D372"/>
      <c r="E372"/>
      <c r="F372"/>
    </row>
    <row r="373" spans="1:6" ht="15" x14ac:dyDescent="0.25">
      <c r="A373"/>
      <c r="B373"/>
      <c r="C373"/>
      <c r="D373"/>
      <c r="E373"/>
      <c r="F373"/>
    </row>
    <row r="374" spans="1:6" ht="15" x14ac:dyDescent="0.25">
      <c r="A374"/>
      <c r="B374"/>
      <c r="C374"/>
      <c r="D374"/>
      <c r="E374"/>
      <c r="F374"/>
    </row>
    <row r="375" spans="1:6" ht="15" x14ac:dyDescent="0.25">
      <c r="A375"/>
      <c r="B375"/>
      <c r="C375"/>
      <c r="D375"/>
      <c r="E375"/>
      <c r="F375"/>
    </row>
    <row r="376" spans="1:6" ht="15" x14ac:dyDescent="0.25">
      <c r="A376"/>
      <c r="B376"/>
      <c r="C376"/>
      <c r="D376"/>
      <c r="E376"/>
      <c r="F376"/>
    </row>
    <row r="377" spans="1:6" ht="15" x14ac:dyDescent="0.25">
      <c r="A377"/>
      <c r="B377"/>
      <c r="C377"/>
      <c r="D377"/>
      <c r="E377"/>
      <c r="F377"/>
    </row>
    <row r="378" spans="1:6" ht="15" x14ac:dyDescent="0.25">
      <c r="A378"/>
      <c r="B378"/>
      <c r="C378"/>
      <c r="D378"/>
      <c r="E378"/>
      <c r="F378"/>
    </row>
    <row r="379" spans="1:6" ht="15" x14ac:dyDescent="0.25">
      <c r="A379"/>
      <c r="B379"/>
      <c r="C379"/>
      <c r="D379"/>
      <c r="E379"/>
      <c r="F379"/>
    </row>
    <row r="380" spans="1:6" ht="15" x14ac:dyDescent="0.25">
      <c r="A380"/>
      <c r="B380"/>
      <c r="C380"/>
      <c r="D380"/>
      <c r="E380"/>
      <c r="F380"/>
    </row>
    <row r="381" spans="1:6" ht="15" x14ac:dyDescent="0.25">
      <c r="A381"/>
      <c r="B381"/>
      <c r="C381"/>
      <c r="D381"/>
      <c r="E381"/>
      <c r="F381"/>
    </row>
    <row r="382" spans="1:6" ht="15" x14ac:dyDescent="0.25">
      <c r="A382"/>
      <c r="B382"/>
      <c r="C382"/>
      <c r="D382"/>
      <c r="E382"/>
      <c r="F382"/>
    </row>
    <row r="383" spans="1:6" ht="15" x14ac:dyDescent="0.25">
      <c r="A383"/>
      <c r="B383"/>
      <c r="C383"/>
      <c r="D383"/>
      <c r="E383"/>
      <c r="F383"/>
    </row>
    <row r="384" spans="1:6" ht="15" x14ac:dyDescent="0.25">
      <c r="A384"/>
      <c r="B384"/>
      <c r="C384"/>
      <c r="D384"/>
      <c r="E384"/>
      <c r="F384"/>
    </row>
    <row r="385" spans="1:6" ht="15" x14ac:dyDescent="0.25">
      <c r="A385"/>
      <c r="B385"/>
      <c r="C385"/>
      <c r="D385"/>
      <c r="E385"/>
      <c r="F385"/>
    </row>
    <row r="386" spans="1:6" ht="15" x14ac:dyDescent="0.25">
      <c r="A386"/>
      <c r="B386"/>
      <c r="C386"/>
      <c r="D386"/>
      <c r="E386"/>
      <c r="F386"/>
    </row>
    <row r="387" spans="1:6" ht="15" x14ac:dyDescent="0.25">
      <c r="A387"/>
      <c r="B387"/>
      <c r="C387"/>
      <c r="D387"/>
      <c r="E387"/>
      <c r="F387"/>
    </row>
    <row r="388" spans="1:6" ht="15" x14ac:dyDescent="0.25">
      <c r="A388"/>
      <c r="B388"/>
      <c r="C388"/>
      <c r="D388"/>
      <c r="E388"/>
      <c r="F388"/>
    </row>
    <row r="389" spans="1:6" ht="15" x14ac:dyDescent="0.25">
      <c r="A389"/>
      <c r="B389"/>
      <c r="C389"/>
      <c r="D389"/>
      <c r="E389"/>
      <c r="F389"/>
    </row>
    <row r="390" spans="1:6" ht="15" x14ac:dyDescent="0.25">
      <c r="A390"/>
      <c r="B390"/>
      <c r="C390"/>
      <c r="D390"/>
      <c r="E390"/>
      <c r="F390"/>
    </row>
    <row r="391" spans="1:6" ht="15" x14ac:dyDescent="0.25">
      <c r="A391"/>
      <c r="B391"/>
      <c r="C391"/>
      <c r="D391"/>
      <c r="E391"/>
      <c r="F391"/>
    </row>
    <row r="392" spans="1:6" ht="15" x14ac:dyDescent="0.25">
      <c r="A392"/>
      <c r="B392"/>
      <c r="C392"/>
      <c r="D392"/>
      <c r="E392"/>
      <c r="F392"/>
    </row>
    <row r="393" spans="1:6" ht="15" x14ac:dyDescent="0.25">
      <c r="A393"/>
      <c r="B393"/>
      <c r="C393"/>
      <c r="D393"/>
      <c r="E393"/>
      <c r="F393"/>
    </row>
    <row r="394" spans="1:6" ht="15" x14ac:dyDescent="0.25">
      <c r="A394"/>
      <c r="B394"/>
      <c r="C394"/>
      <c r="D394"/>
      <c r="E394"/>
      <c r="F394"/>
    </row>
    <row r="395" spans="1:6" ht="15" x14ac:dyDescent="0.25">
      <c r="A395"/>
      <c r="B395"/>
      <c r="C395"/>
      <c r="D395"/>
      <c r="E395"/>
      <c r="F395"/>
    </row>
    <row r="396" spans="1:6" ht="15" x14ac:dyDescent="0.25">
      <c r="A396"/>
      <c r="B396"/>
      <c r="C396"/>
      <c r="D396"/>
      <c r="E396"/>
      <c r="F396"/>
    </row>
    <row r="397" spans="1:6" ht="15" x14ac:dyDescent="0.25">
      <c r="A397"/>
      <c r="B397"/>
      <c r="C397"/>
      <c r="D397"/>
      <c r="E397"/>
      <c r="F397"/>
    </row>
    <row r="398" spans="1:6" ht="15" x14ac:dyDescent="0.25">
      <c r="A398"/>
      <c r="B398"/>
      <c r="C398"/>
      <c r="D398"/>
      <c r="E398"/>
      <c r="F398"/>
    </row>
    <row r="399" spans="1:6" ht="15" x14ac:dyDescent="0.25">
      <c r="A399"/>
      <c r="B399"/>
      <c r="C399"/>
      <c r="D399"/>
      <c r="E399"/>
      <c r="F399"/>
    </row>
    <row r="400" spans="1:6" ht="15" x14ac:dyDescent="0.25">
      <c r="A400"/>
      <c r="B400"/>
      <c r="C400"/>
      <c r="D400"/>
      <c r="E400"/>
      <c r="F400"/>
    </row>
    <row r="401" spans="1:6" ht="15" x14ac:dyDescent="0.25">
      <c r="A401"/>
      <c r="B401"/>
      <c r="C401"/>
      <c r="D401"/>
      <c r="E401"/>
      <c r="F401"/>
    </row>
    <row r="402" spans="1:6" ht="15" x14ac:dyDescent="0.25">
      <c r="A402"/>
      <c r="B402"/>
      <c r="C402"/>
      <c r="D402"/>
      <c r="E402"/>
      <c r="F402"/>
    </row>
    <row r="403" spans="1:6" ht="15" x14ac:dyDescent="0.25">
      <c r="A403"/>
      <c r="B403"/>
      <c r="C403"/>
      <c r="D403"/>
      <c r="E403"/>
      <c r="F403"/>
    </row>
    <row r="404" spans="1:6" ht="15" x14ac:dyDescent="0.25">
      <c r="A404"/>
      <c r="B404"/>
      <c r="C404"/>
      <c r="D404"/>
      <c r="E404"/>
      <c r="F404"/>
    </row>
    <row r="405" spans="1:6" ht="15" x14ac:dyDescent="0.25">
      <c r="A405"/>
      <c r="B405"/>
      <c r="C405"/>
      <c r="D405"/>
      <c r="E405"/>
      <c r="F405"/>
    </row>
    <row r="406" spans="1:6" ht="15" x14ac:dyDescent="0.25">
      <c r="A406"/>
      <c r="B406"/>
      <c r="C406"/>
      <c r="D406"/>
      <c r="E406"/>
      <c r="F406"/>
    </row>
    <row r="407" spans="1:6" ht="15" x14ac:dyDescent="0.25">
      <c r="A407"/>
      <c r="B407"/>
      <c r="C407"/>
      <c r="D407"/>
      <c r="E407"/>
      <c r="F407"/>
    </row>
    <row r="408" spans="1:6" ht="15" x14ac:dyDescent="0.25">
      <c r="A408"/>
      <c r="B408"/>
      <c r="C408"/>
      <c r="D408"/>
      <c r="E408"/>
      <c r="F408"/>
    </row>
    <row r="409" spans="1:6" ht="15" x14ac:dyDescent="0.25">
      <c r="A409"/>
      <c r="B409"/>
      <c r="C409"/>
      <c r="D409"/>
      <c r="E409"/>
      <c r="F409"/>
    </row>
    <row r="410" spans="1:6" ht="15" x14ac:dyDescent="0.25">
      <c r="A410"/>
      <c r="B410"/>
      <c r="C410"/>
      <c r="D410"/>
      <c r="E410"/>
      <c r="F410"/>
    </row>
    <row r="411" spans="1:6" ht="15" x14ac:dyDescent="0.25">
      <c r="A411"/>
      <c r="B411"/>
      <c r="C411"/>
      <c r="D411"/>
      <c r="E411"/>
      <c r="F411"/>
    </row>
    <row r="412" spans="1:6" ht="15" x14ac:dyDescent="0.25">
      <c r="A412"/>
      <c r="B412"/>
      <c r="C412"/>
      <c r="D412"/>
      <c r="E412"/>
      <c r="F412"/>
    </row>
    <row r="413" spans="1:6" ht="15" x14ac:dyDescent="0.25">
      <c r="A413"/>
      <c r="B413"/>
      <c r="C413"/>
      <c r="D413"/>
      <c r="E413"/>
      <c r="F413"/>
    </row>
    <row r="414" spans="1:6" ht="15" x14ac:dyDescent="0.25">
      <c r="A414"/>
      <c r="B414"/>
      <c r="C414"/>
      <c r="D414"/>
      <c r="E414"/>
      <c r="F414"/>
    </row>
    <row r="415" spans="1:6" ht="15" x14ac:dyDescent="0.25">
      <c r="A415"/>
      <c r="B415"/>
      <c r="C415"/>
      <c r="D415"/>
      <c r="E415"/>
      <c r="F415"/>
    </row>
    <row r="416" spans="1:6" ht="15" x14ac:dyDescent="0.25">
      <c r="A416"/>
      <c r="B416"/>
      <c r="C416"/>
      <c r="D416"/>
      <c r="E416"/>
      <c r="F416"/>
    </row>
    <row r="417" spans="1:6" ht="15" x14ac:dyDescent="0.25">
      <c r="A417"/>
      <c r="B417"/>
      <c r="C417"/>
      <c r="D417"/>
      <c r="E417"/>
      <c r="F417"/>
    </row>
    <row r="418" spans="1:6" ht="15" x14ac:dyDescent="0.25">
      <c r="A418"/>
      <c r="B418"/>
      <c r="C418"/>
      <c r="D418"/>
      <c r="E418"/>
      <c r="F418"/>
    </row>
    <row r="419" spans="1:6" ht="15" x14ac:dyDescent="0.25">
      <c r="A419"/>
      <c r="B419"/>
      <c r="C419"/>
      <c r="D419"/>
      <c r="E419"/>
      <c r="F419"/>
    </row>
    <row r="420" spans="1:6" ht="15" x14ac:dyDescent="0.25">
      <c r="A420"/>
      <c r="B420"/>
      <c r="C420"/>
      <c r="D420"/>
      <c r="E420"/>
      <c r="F420"/>
    </row>
    <row r="421" spans="1:6" ht="15" x14ac:dyDescent="0.25">
      <c r="A421"/>
      <c r="B421"/>
      <c r="C421"/>
      <c r="D421"/>
      <c r="E421"/>
      <c r="F421"/>
    </row>
    <row r="422" spans="1:6" ht="15" x14ac:dyDescent="0.25">
      <c r="A422"/>
      <c r="B422"/>
      <c r="C422"/>
      <c r="D422"/>
      <c r="E422"/>
      <c r="F422"/>
    </row>
    <row r="423" spans="1:6" ht="15" x14ac:dyDescent="0.25">
      <c r="A423"/>
      <c r="B423"/>
      <c r="C423"/>
      <c r="D423"/>
      <c r="E423"/>
      <c r="F423"/>
    </row>
    <row r="424" spans="1:6" ht="15" x14ac:dyDescent="0.25">
      <c r="A424"/>
      <c r="B424"/>
      <c r="C424"/>
      <c r="D424"/>
      <c r="E424"/>
      <c r="F424"/>
    </row>
    <row r="425" spans="1:6" ht="15" x14ac:dyDescent="0.25">
      <c r="A425"/>
      <c r="B425"/>
      <c r="C425"/>
      <c r="D425"/>
      <c r="E425"/>
      <c r="F425"/>
    </row>
    <row r="426" spans="1:6" ht="15" x14ac:dyDescent="0.25">
      <c r="A426"/>
      <c r="B426"/>
      <c r="C426"/>
      <c r="D426"/>
      <c r="E426"/>
      <c r="F426"/>
    </row>
    <row r="427" spans="1:6" ht="15" x14ac:dyDescent="0.25">
      <c r="A427"/>
      <c r="B427"/>
      <c r="C427"/>
      <c r="D427"/>
      <c r="E427"/>
      <c r="F427"/>
    </row>
    <row r="428" spans="1:6" ht="15" x14ac:dyDescent="0.25">
      <c r="A428"/>
      <c r="B428"/>
      <c r="C428"/>
      <c r="D428"/>
      <c r="E428"/>
      <c r="F428"/>
    </row>
    <row r="429" spans="1:6" ht="15" x14ac:dyDescent="0.25">
      <c r="A429"/>
      <c r="B429"/>
      <c r="C429"/>
      <c r="D429"/>
      <c r="E429"/>
      <c r="F429"/>
    </row>
    <row r="430" spans="1:6" ht="15" x14ac:dyDescent="0.25">
      <c r="A430"/>
      <c r="B430"/>
      <c r="C430"/>
      <c r="D430"/>
      <c r="E430"/>
      <c r="F430"/>
    </row>
    <row r="431" spans="1:6" ht="15" x14ac:dyDescent="0.25">
      <c r="A431"/>
      <c r="B431"/>
      <c r="C431"/>
      <c r="D431"/>
      <c r="E431"/>
      <c r="F431"/>
    </row>
    <row r="432" spans="1:6" ht="15" x14ac:dyDescent="0.25">
      <c r="A432"/>
      <c r="B432"/>
      <c r="C432"/>
      <c r="D432"/>
      <c r="E432"/>
      <c r="F432"/>
    </row>
    <row r="433" spans="1:6" ht="15" x14ac:dyDescent="0.25">
      <c r="A433"/>
      <c r="B433"/>
      <c r="C433"/>
      <c r="D433"/>
      <c r="E433"/>
      <c r="F433"/>
    </row>
    <row r="434" spans="1:6" ht="15" x14ac:dyDescent="0.25">
      <c r="A434"/>
      <c r="B434"/>
      <c r="C434"/>
      <c r="D434"/>
      <c r="E434"/>
      <c r="F434"/>
    </row>
    <row r="435" spans="1:6" ht="15" x14ac:dyDescent="0.25">
      <c r="A435"/>
      <c r="B435"/>
      <c r="C435"/>
      <c r="D435"/>
      <c r="E435"/>
      <c r="F435"/>
    </row>
    <row r="436" spans="1:6" ht="15" x14ac:dyDescent="0.25">
      <c r="A436"/>
      <c r="B436"/>
      <c r="C436"/>
      <c r="D436"/>
      <c r="E436"/>
      <c r="F436"/>
    </row>
    <row r="437" spans="1:6" ht="15" x14ac:dyDescent="0.25">
      <c r="A437"/>
      <c r="B437"/>
      <c r="C437"/>
      <c r="D437"/>
      <c r="E437"/>
      <c r="F437"/>
    </row>
    <row r="438" spans="1:6" ht="15" x14ac:dyDescent="0.25">
      <c r="A438"/>
      <c r="B438"/>
      <c r="C438"/>
      <c r="D438"/>
      <c r="E438"/>
      <c r="F438"/>
    </row>
    <row r="439" spans="1:6" x14ac:dyDescent="0.2">
      <c r="E439" s="2"/>
    </row>
    <row r="440" spans="1:6" x14ac:dyDescent="0.2">
      <c r="E440" s="2"/>
    </row>
  </sheetData>
  <pageMargins left="0.7" right="0.7" top="0.75" bottom="0.75" header="0.3" footer="0.3"/>
  <pageSetup scale="37"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92D050"/>
    <pageSetUpPr fitToPage="1"/>
  </sheetPr>
  <dimension ref="A1:T131"/>
  <sheetViews>
    <sheetView zoomScaleNormal="100" workbookViewId="0">
      <selection activeCell="J2" sqref="J2"/>
    </sheetView>
  </sheetViews>
  <sheetFormatPr defaultColWidth="9" defaultRowHeight="12.75" x14ac:dyDescent="0.2"/>
  <cols>
    <col min="1" max="1" width="22.5703125" style="2" customWidth="1"/>
    <col min="2" max="2" width="27" style="2" customWidth="1"/>
    <col min="3" max="3" width="15.42578125" style="2" bestFit="1" customWidth="1"/>
    <col min="4" max="4" width="9" style="2"/>
    <col min="5" max="5" width="12.5703125" style="2" bestFit="1" customWidth="1"/>
    <col min="6" max="6" width="20.85546875" style="2" bestFit="1" customWidth="1"/>
    <col min="7" max="7" width="21.5703125" style="2" bestFit="1" customWidth="1"/>
    <col min="8" max="8" width="9" style="4"/>
    <col min="9" max="9" width="15.85546875" style="2" bestFit="1" customWidth="1"/>
    <col min="10" max="10" width="14" style="2" bestFit="1" customWidth="1"/>
    <col min="11" max="11" width="14" style="2" customWidth="1"/>
    <col min="12" max="12" width="12.7109375" style="2" bestFit="1" customWidth="1"/>
    <col min="13" max="18" width="9" style="2"/>
    <col min="19" max="19" width="11" style="2" customWidth="1"/>
    <col min="20" max="16384" width="9" style="2"/>
  </cols>
  <sheetData>
    <row r="1" spans="1:20" s="196" customFormat="1" ht="92.25" customHeight="1" x14ac:dyDescent="0.2">
      <c r="A1" s="196" t="s">
        <v>1381</v>
      </c>
      <c r="B1" s="191" t="s">
        <v>372</v>
      </c>
      <c r="C1" s="192" t="s">
        <v>373</v>
      </c>
      <c r="D1" s="193" t="s">
        <v>374</v>
      </c>
      <c r="E1" s="193" t="s">
        <v>375</v>
      </c>
      <c r="F1" s="194" t="s">
        <v>376</v>
      </c>
      <c r="G1" s="193" t="s">
        <v>377</v>
      </c>
      <c r="H1" s="440" t="s">
        <v>378</v>
      </c>
      <c r="I1" s="195" t="s">
        <v>379</v>
      </c>
      <c r="J1" s="193" t="s">
        <v>380</v>
      </c>
      <c r="K1" s="193" t="s">
        <v>1079</v>
      </c>
      <c r="L1" s="195" t="s">
        <v>381</v>
      </c>
      <c r="M1" s="195" t="s">
        <v>382</v>
      </c>
      <c r="N1" s="195" t="s">
        <v>383</v>
      </c>
      <c r="O1" s="195" t="s">
        <v>384</v>
      </c>
      <c r="P1" s="195" t="s">
        <v>385</v>
      </c>
      <c r="Q1" s="195" t="s">
        <v>386</v>
      </c>
      <c r="R1" s="195" t="s">
        <v>387</v>
      </c>
      <c r="S1" s="195" t="s">
        <v>388</v>
      </c>
      <c r="T1" s="195" t="s">
        <v>389</v>
      </c>
    </row>
    <row r="2" spans="1:20" x14ac:dyDescent="0.2">
      <c r="A2" s="470" t="s">
        <v>1398</v>
      </c>
      <c r="B2" s="470" t="s">
        <v>1397</v>
      </c>
      <c r="C2" s="473">
        <v>30451</v>
      </c>
      <c r="D2" s="470" t="s">
        <v>1388</v>
      </c>
      <c r="E2" s="470" t="s">
        <v>1388</v>
      </c>
      <c r="F2" s="467" t="s">
        <v>1399</v>
      </c>
      <c r="G2" s="475"/>
      <c r="H2" s="449"/>
      <c r="I2" s="448">
        <v>8</v>
      </c>
      <c r="J2" s="448"/>
      <c r="K2" s="448"/>
      <c r="L2" s="448"/>
      <c r="M2" s="430"/>
      <c r="N2" s="430"/>
      <c r="O2" s="430"/>
      <c r="P2" s="430"/>
      <c r="Q2" s="430"/>
      <c r="R2" s="430"/>
      <c r="S2" s="430"/>
      <c r="T2" s="430"/>
    </row>
    <row r="3" spans="1:20" x14ac:dyDescent="0.2">
      <c r="A3" s="470"/>
      <c r="B3" s="470"/>
      <c r="C3" s="473"/>
      <c r="D3" s="470"/>
      <c r="E3" s="470"/>
      <c r="F3" s="467"/>
      <c r="G3" s="475"/>
      <c r="H3" s="449"/>
      <c r="I3" s="448"/>
      <c r="J3" s="448"/>
      <c r="K3" s="448"/>
      <c r="L3" s="448"/>
      <c r="M3" s="430"/>
      <c r="N3" s="430"/>
      <c r="O3" s="430"/>
      <c r="P3" s="430"/>
      <c r="Q3" s="430"/>
      <c r="R3" s="430"/>
      <c r="S3" s="430"/>
      <c r="T3" s="430"/>
    </row>
    <row r="4" spans="1:20" x14ac:dyDescent="0.2">
      <c r="A4" s="470"/>
      <c r="B4" s="470"/>
      <c r="C4" s="470"/>
      <c r="D4" s="470"/>
      <c r="E4" s="470"/>
      <c r="F4" s="467"/>
      <c r="G4" s="448"/>
      <c r="H4" s="449"/>
      <c r="I4" s="448"/>
      <c r="J4" s="448"/>
      <c r="K4" s="448"/>
      <c r="L4" s="448"/>
      <c r="M4" s="430"/>
      <c r="N4" s="430"/>
      <c r="O4" s="430"/>
      <c r="P4" s="430"/>
      <c r="Q4" s="430"/>
      <c r="R4" s="430"/>
      <c r="S4" s="430"/>
      <c r="T4" s="430"/>
    </row>
    <row r="5" spans="1:20" x14ac:dyDescent="0.2">
      <c r="A5" s="470"/>
      <c r="B5" s="470"/>
      <c r="C5" s="470"/>
      <c r="D5" s="470"/>
      <c r="E5" s="470"/>
      <c r="F5" s="467"/>
      <c r="G5" s="448"/>
      <c r="H5" s="449"/>
      <c r="I5" s="448"/>
      <c r="J5" s="448"/>
      <c r="K5" s="448"/>
      <c r="L5" s="448"/>
      <c r="M5" s="430"/>
      <c r="N5" s="430"/>
      <c r="O5" s="430"/>
      <c r="P5" s="430"/>
      <c r="Q5" s="430"/>
      <c r="R5" s="430"/>
      <c r="S5" s="430"/>
      <c r="T5" s="430"/>
    </row>
    <row r="6" spans="1:20" x14ac:dyDescent="0.2">
      <c r="A6" s="470"/>
      <c r="B6" s="470"/>
      <c r="C6" s="470"/>
      <c r="D6" s="470"/>
      <c r="E6" s="470"/>
      <c r="F6" s="467"/>
      <c r="G6" s="448"/>
      <c r="H6" s="449"/>
      <c r="I6" s="448"/>
      <c r="J6" s="448"/>
      <c r="K6" s="448"/>
      <c r="L6" s="448"/>
      <c r="M6" s="430"/>
      <c r="N6" s="430"/>
      <c r="O6" s="430"/>
      <c r="P6" s="430"/>
      <c r="Q6" s="430"/>
      <c r="R6" s="430"/>
      <c r="S6" s="430"/>
      <c r="T6" s="430"/>
    </row>
    <row r="7" spans="1:20" ht="20.25" x14ac:dyDescent="0.25">
      <c r="A7" s="468"/>
      <c r="B7" s="469"/>
      <c r="C7" s="469"/>
      <c r="D7" s="469"/>
      <c r="E7" s="469"/>
      <c r="F7" s="450"/>
      <c r="G7" s="448"/>
      <c r="H7" s="449"/>
      <c r="I7" s="448"/>
      <c r="J7" s="448"/>
      <c r="K7" s="448"/>
      <c r="L7" s="448"/>
      <c r="M7" s="430"/>
      <c r="N7" s="430"/>
      <c r="O7" s="430"/>
      <c r="P7" s="430"/>
      <c r="Q7" s="430"/>
      <c r="R7" s="430"/>
      <c r="S7" s="430"/>
      <c r="T7" s="430"/>
    </row>
    <row r="8" spans="1:20" ht="20.25" x14ac:dyDescent="0.2">
      <c r="A8" s="459"/>
      <c r="B8" s="460"/>
      <c r="C8" s="460"/>
      <c r="D8" s="460"/>
      <c r="E8" s="461"/>
      <c r="F8" s="448"/>
      <c r="G8" s="448"/>
      <c r="H8" s="449"/>
      <c r="I8" s="448"/>
      <c r="J8" s="448"/>
      <c r="K8" s="448"/>
      <c r="L8" s="448"/>
      <c r="M8" s="430"/>
      <c r="N8" s="430"/>
      <c r="O8" s="430"/>
      <c r="P8" s="430"/>
      <c r="Q8" s="430"/>
      <c r="R8" s="430"/>
      <c r="S8" s="430"/>
      <c r="T8" s="430"/>
    </row>
    <row r="9" spans="1:20" ht="20.25" x14ac:dyDescent="0.25">
      <c r="A9" s="459"/>
      <c r="B9" s="460"/>
      <c r="C9" s="460"/>
      <c r="D9" s="460"/>
      <c r="E9" s="461"/>
      <c r="F9" s="450"/>
      <c r="G9" s="448"/>
      <c r="H9" s="449"/>
      <c r="I9" s="448"/>
      <c r="J9" s="448"/>
      <c r="K9" s="448"/>
      <c r="L9" s="448"/>
      <c r="M9" s="430"/>
      <c r="N9" s="430"/>
      <c r="O9" s="430"/>
      <c r="P9" s="430"/>
      <c r="Q9" s="430"/>
      <c r="R9" s="430"/>
      <c r="S9" s="430"/>
      <c r="T9" s="430"/>
    </row>
    <row r="10" spans="1:20" ht="20.25" x14ac:dyDescent="0.25">
      <c r="A10" s="459"/>
      <c r="B10" s="460"/>
      <c r="C10" s="460"/>
      <c r="D10" s="460"/>
      <c r="E10" s="461"/>
      <c r="F10" s="450"/>
      <c r="G10" s="448"/>
      <c r="H10" s="449"/>
      <c r="I10" s="448"/>
      <c r="J10" s="448"/>
      <c r="K10" s="448"/>
      <c r="L10" s="448"/>
      <c r="M10" s="430"/>
      <c r="N10" s="430"/>
      <c r="O10" s="430"/>
      <c r="P10" s="430"/>
      <c r="Q10" s="430"/>
      <c r="R10" s="430"/>
      <c r="S10" s="430"/>
      <c r="T10" s="430"/>
    </row>
    <row r="11" spans="1:20" ht="20.25" x14ac:dyDescent="0.25">
      <c r="A11" s="459"/>
      <c r="B11" s="460"/>
      <c r="C11" s="460"/>
      <c r="D11" s="460"/>
      <c r="E11" s="461"/>
      <c r="F11" s="450"/>
      <c r="G11" s="448"/>
      <c r="H11" s="449"/>
      <c r="I11" s="448"/>
      <c r="J11" s="448"/>
      <c r="K11" s="448"/>
      <c r="L11" s="448"/>
      <c r="M11" s="430"/>
      <c r="N11" s="430"/>
      <c r="O11" s="430"/>
      <c r="P11" s="430"/>
      <c r="Q11" s="430"/>
      <c r="R11" s="430"/>
      <c r="S11" s="430"/>
      <c r="T11" s="430"/>
    </row>
    <row r="12" spans="1:20" ht="20.25" x14ac:dyDescent="0.25">
      <c r="A12" s="459"/>
      <c r="B12" s="460"/>
      <c r="C12" s="460"/>
      <c r="D12" s="460"/>
      <c r="E12" s="461"/>
      <c r="F12" s="450"/>
      <c r="G12" s="448"/>
      <c r="H12" s="449"/>
      <c r="I12" s="448"/>
      <c r="J12" s="448"/>
      <c r="K12" s="448"/>
      <c r="L12" s="448"/>
      <c r="M12" s="430"/>
      <c r="N12" s="430"/>
      <c r="O12" s="430"/>
      <c r="P12" s="430"/>
      <c r="Q12" s="430"/>
      <c r="R12" s="430"/>
      <c r="S12" s="430"/>
      <c r="T12" s="430"/>
    </row>
    <row r="13" spans="1:20" ht="20.25" x14ac:dyDescent="0.25">
      <c r="A13" s="462"/>
      <c r="B13" s="463"/>
      <c r="C13" s="463"/>
      <c r="D13" s="463"/>
      <c r="E13" s="464"/>
      <c r="F13" s="450"/>
      <c r="G13" s="448"/>
      <c r="H13" s="449"/>
      <c r="I13" s="448"/>
      <c r="J13" s="448"/>
      <c r="K13" s="448"/>
      <c r="L13" s="448"/>
      <c r="M13" s="430"/>
      <c r="N13" s="430"/>
      <c r="O13" s="430"/>
      <c r="P13" s="430"/>
      <c r="Q13" s="430"/>
      <c r="R13" s="430"/>
      <c r="S13" s="430"/>
      <c r="T13" s="430"/>
    </row>
    <row r="14" spans="1:20" ht="15" x14ac:dyDescent="0.25">
      <c r="A14" s="450"/>
      <c r="B14" s="450"/>
      <c r="C14" s="451"/>
      <c r="D14" s="450"/>
      <c r="E14" s="450"/>
      <c r="F14" s="450"/>
      <c r="G14" s="448"/>
      <c r="H14" s="449"/>
      <c r="I14" s="448"/>
      <c r="J14" s="448"/>
      <c r="K14" s="448"/>
      <c r="L14" s="448"/>
      <c r="M14" s="430"/>
      <c r="N14" s="430"/>
      <c r="O14" s="430"/>
      <c r="P14" s="430"/>
      <c r="Q14" s="430"/>
      <c r="R14" s="430"/>
      <c r="S14" s="430"/>
      <c r="T14" s="430"/>
    </row>
    <row r="15" spans="1:20" ht="15" x14ac:dyDescent="0.25">
      <c r="A15" s="450"/>
      <c r="B15" s="450"/>
      <c r="C15" s="451"/>
      <c r="D15" s="450"/>
      <c r="E15" s="450"/>
      <c r="F15" s="450"/>
      <c r="G15" s="448"/>
      <c r="H15" s="449"/>
      <c r="I15" s="448"/>
      <c r="J15" s="448"/>
      <c r="K15" s="448"/>
      <c r="L15" s="448"/>
      <c r="M15" s="430"/>
      <c r="N15" s="430"/>
      <c r="O15" s="430"/>
      <c r="P15" s="430"/>
      <c r="Q15" s="430"/>
      <c r="R15" s="430"/>
      <c r="S15" s="430"/>
      <c r="T15" s="430"/>
    </row>
    <row r="16" spans="1:20" ht="15" x14ac:dyDescent="0.25">
      <c r="A16" s="450"/>
      <c r="B16" s="450"/>
      <c r="C16" s="451"/>
      <c r="D16" s="450"/>
      <c r="E16" s="450"/>
      <c r="F16" s="450"/>
      <c r="G16" s="448"/>
      <c r="H16" s="449"/>
      <c r="I16" s="448"/>
      <c r="J16" s="448"/>
      <c r="K16" s="448"/>
      <c r="L16" s="448"/>
      <c r="M16" s="430"/>
      <c r="N16" s="430"/>
      <c r="O16" s="430"/>
      <c r="P16" s="430"/>
      <c r="Q16" s="430"/>
      <c r="R16" s="430"/>
      <c r="S16" s="430"/>
      <c r="T16" s="430"/>
    </row>
    <row r="17" spans="1:20" ht="15" x14ac:dyDescent="0.25">
      <c r="A17" s="450"/>
      <c r="B17" s="450"/>
      <c r="C17" s="451"/>
      <c r="D17" s="450"/>
      <c r="E17" s="450"/>
      <c r="F17" s="450"/>
      <c r="G17" s="448"/>
      <c r="H17" s="449"/>
      <c r="I17" s="448"/>
      <c r="J17" s="448"/>
      <c r="K17" s="448"/>
      <c r="L17" s="448"/>
      <c r="M17" s="430"/>
      <c r="N17" s="430"/>
      <c r="O17" s="430"/>
      <c r="P17" s="430"/>
      <c r="Q17" s="430"/>
      <c r="R17" s="430"/>
      <c r="S17" s="430"/>
      <c r="T17" s="430"/>
    </row>
    <row r="18" spans="1:20" ht="15" x14ac:dyDescent="0.25">
      <c r="A18" s="450"/>
      <c r="B18" s="450"/>
      <c r="C18" s="451"/>
      <c r="D18" s="450"/>
      <c r="E18" s="450"/>
      <c r="F18" s="450"/>
      <c r="G18" s="448"/>
      <c r="H18" s="449"/>
      <c r="I18" s="448"/>
      <c r="J18" s="448"/>
      <c r="K18" s="448"/>
      <c r="L18" s="448"/>
      <c r="M18" s="430"/>
      <c r="N18" s="430"/>
      <c r="O18" s="430"/>
      <c r="P18" s="430"/>
      <c r="Q18" s="430"/>
      <c r="R18" s="430"/>
      <c r="S18" s="430"/>
      <c r="T18" s="430"/>
    </row>
    <row r="19" spans="1:20" ht="15" x14ac:dyDescent="0.25">
      <c r="A19" s="450"/>
      <c r="B19" s="450"/>
      <c r="C19" s="451"/>
      <c r="D19" s="450"/>
      <c r="E19" s="450"/>
      <c r="F19" s="450"/>
      <c r="G19" s="448"/>
      <c r="H19" s="449"/>
      <c r="I19" s="448"/>
      <c r="J19" s="448"/>
      <c r="K19" s="448"/>
      <c r="L19" s="448"/>
      <c r="M19" s="430"/>
      <c r="N19" s="430"/>
      <c r="O19" s="430"/>
      <c r="P19" s="430"/>
      <c r="Q19" s="430"/>
      <c r="R19" s="430"/>
      <c r="S19" s="430"/>
      <c r="T19" s="430"/>
    </row>
    <row r="20" spans="1:20" ht="15" x14ac:dyDescent="0.25">
      <c r="A20" s="450"/>
      <c r="B20" s="450"/>
      <c r="C20" s="451"/>
      <c r="D20" s="450"/>
      <c r="E20" s="450"/>
      <c r="F20" s="450"/>
      <c r="G20" s="448"/>
      <c r="H20" s="449"/>
      <c r="I20" s="448"/>
      <c r="J20" s="448"/>
      <c r="K20" s="448"/>
      <c r="L20" s="448"/>
      <c r="M20" s="430"/>
      <c r="N20" s="430"/>
      <c r="O20" s="430"/>
      <c r="P20" s="430"/>
      <c r="Q20" s="430"/>
      <c r="R20" s="430"/>
      <c r="S20" s="430"/>
      <c r="T20" s="430"/>
    </row>
    <row r="21" spans="1:20" ht="15" x14ac:dyDescent="0.25">
      <c r="A21" s="450"/>
      <c r="B21" s="450"/>
      <c r="C21" s="451"/>
      <c r="D21" s="450"/>
      <c r="E21" s="450"/>
      <c r="F21" s="450"/>
      <c r="G21" s="448"/>
      <c r="H21" s="449"/>
      <c r="I21" s="448"/>
      <c r="J21" s="448"/>
      <c r="K21" s="448"/>
      <c r="L21" s="448"/>
      <c r="M21" s="430"/>
      <c r="N21" s="430"/>
      <c r="O21" s="430"/>
      <c r="P21" s="430"/>
      <c r="Q21" s="430"/>
      <c r="R21" s="430"/>
      <c r="S21" s="430"/>
      <c r="T21" s="430"/>
    </row>
    <row r="22" spans="1:20" ht="15" x14ac:dyDescent="0.25">
      <c r="A22" s="450"/>
      <c r="B22" s="450"/>
      <c r="C22" s="451"/>
      <c r="D22" s="450"/>
      <c r="E22" s="450"/>
      <c r="F22" s="450"/>
      <c r="G22" s="448"/>
      <c r="H22" s="449"/>
      <c r="I22" s="448"/>
      <c r="J22" s="448"/>
      <c r="K22" s="448"/>
      <c r="L22" s="448"/>
      <c r="M22" s="430"/>
      <c r="N22" s="430"/>
      <c r="O22" s="430"/>
      <c r="P22" s="430"/>
      <c r="Q22" s="430"/>
      <c r="R22" s="430"/>
      <c r="S22" s="430"/>
      <c r="T22" s="430"/>
    </row>
    <row r="23" spans="1:20" ht="15" x14ac:dyDescent="0.25">
      <c r="A23" s="450"/>
      <c r="B23" s="450"/>
      <c r="C23" s="451"/>
      <c r="D23" s="450"/>
      <c r="E23" s="450"/>
      <c r="F23" s="450"/>
      <c r="G23" s="448"/>
      <c r="H23" s="449"/>
      <c r="I23" s="448"/>
      <c r="J23" s="448"/>
      <c r="K23" s="448"/>
      <c r="L23" s="448"/>
      <c r="M23" s="430"/>
      <c r="N23" s="430"/>
      <c r="O23" s="430"/>
      <c r="P23" s="430"/>
      <c r="Q23" s="430"/>
      <c r="R23" s="430"/>
      <c r="S23" s="430"/>
      <c r="T23" s="430"/>
    </row>
    <row r="24" spans="1:20" ht="15" x14ac:dyDescent="0.25">
      <c r="A24"/>
      <c r="B24"/>
      <c r="C24"/>
      <c r="D24"/>
      <c r="E24"/>
      <c r="F24"/>
    </row>
    <row r="25" spans="1:20" ht="15" x14ac:dyDescent="0.25">
      <c r="A25"/>
      <c r="B25"/>
      <c r="C25"/>
      <c r="D25"/>
      <c r="E25"/>
      <c r="F25"/>
    </row>
    <row r="26" spans="1:20" ht="15" x14ac:dyDescent="0.25">
      <c r="A26"/>
      <c r="B26"/>
      <c r="C26"/>
      <c r="D26"/>
      <c r="E26"/>
      <c r="F26"/>
    </row>
    <row r="27" spans="1:20" ht="15" x14ac:dyDescent="0.25">
      <c r="A27"/>
      <c r="B27"/>
      <c r="C27"/>
      <c r="D27"/>
      <c r="E27"/>
      <c r="F27"/>
    </row>
    <row r="28" spans="1:20" ht="15" x14ac:dyDescent="0.25">
      <c r="A28"/>
      <c r="B28"/>
      <c r="C28"/>
      <c r="D28"/>
      <c r="E28"/>
      <c r="F28"/>
    </row>
    <row r="29" spans="1:20" ht="15" x14ac:dyDescent="0.25">
      <c r="A29"/>
      <c r="B29"/>
      <c r="C29"/>
      <c r="D29"/>
      <c r="E29"/>
      <c r="F29"/>
    </row>
    <row r="30" spans="1:20" ht="15" x14ac:dyDescent="0.25">
      <c r="A30"/>
      <c r="B30"/>
      <c r="C30"/>
      <c r="D30"/>
      <c r="E30"/>
      <c r="F30"/>
    </row>
    <row r="31" spans="1:20" ht="15" x14ac:dyDescent="0.3">
      <c r="A31" s="431"/>
      <c r="B31" s="432"/>
    </row>
    <row r="32" spans="1:20" ht="15" x14ac:dyDescent="0.3">
      <c r="A32" s="431"/>
      <c r="B32" s="433"/>
    </row>
    <row r="33" spans="1:2" ht="15" x14ac:dyDescent="0.3">
      <c r="A33" s="433"/>
      <c r="B33" s="433"/>
    </row>
    <row r="34" spans="1:2" ht="15" x14ac:dyDescent="0.3">
      <c r="A34" s="431"/>
      <c r="B34" s="432"/>
    </row>
    <row r="35" spans="1:2" ht="15" x14ac:dyDescent="0.3">
      <c r="A35" s="433"/>
      <c r="B35" s="433"/>
    </row>
    <row r="36" spans="1:2" ht="15" x14ac:dyDescent="0.3">
      <c r="A36" s="431"/>
      <c r="B36" s="432"/>
    </row>
    <row r="37" spans="1:2" ht="15" x14ac:dyDescent="0.3">
      <c r="A37" s="431"/>
      <c r="B37" s="432"/>
    </row>
    <row r="38" spans="1:2" ht="15" x14ac:dyDescent="0.3">
      <c r="A38" s="431"/>
      <c r="B38" s="433"/>
    </row>
    <row r="39" spans="1:2" ht="15" x14ac:dyDescent="0.3">
      <c r="A39" s="433"/>
      <c r="B39" s="433"/>
    </row>
    <row r="40" spans="1:2" ht="15" x14ac:dyDescent="0.3">
      <c r="A40" s="431"/>
      <c r="B40" s="433"/>
    </row>
    <row r="41" spans="1:2" ht="15" x14ac:dyDescent="0.3">
      <c r="A41" s="434"/>
      <c r="B41" s="434"/>
    </row>
    <row r="42" spans="1:2" ht="15" x14ac:dyDescent="0.3">
      <c r="A42" s="434"/>
      <c r="B42" s="434"/>
    </row>
    <row r="43" spans="1:2" ht="15" x14ac:dyDescent="0.3">
      <c r="A43" s="431"/>
      <c r="B43" s="432"/>
    </row>
    <row r="44" spans="1:2" ht="15" x14ac:dyDescent="0.3">
      <c r="A44" s="434"/>
      <c r="B44" s="434"/>
    </row>
    <row r="45" spans="1:2" ht="15" x14ac:dyDescent="0.3">
      <c r="A45" s="434"/>
      <c r="B45" s="434"/>
    </row>
    <row r="46" spans="1:2" ht="15" x14ac:dyDescent="0.3">
      <c r="A46" s="431"/>
      <c r="B46" s="432"/>
    </row>
    <row r="47" spans="1:2" ht="15" x14ac:dyDescent="0.3">
      <c r="A47" s="431"/>
      <c r="B47" s="432"/>
    </row>
    <row r="48" spans="1:2" ht="15" x14ac:dyDescent="0.3">
      <c r="A48" s="431"/>
      <c r="B48" s="432"/>
    </row>
    <row r="49" spans="1:2" ht="15" x14ac:dyDescent="0.3">
      <c r="A49" s="431"/>
      <c r="B49" s="433"/>
    </row>
    <row r="50" spans="1:2" ht="15" x14ac:dyDescent="0.3">
      <c r="A50" s="431"/>
      <c r="B50" s="432"/>
    </row>
    <row r="51" spans="1:2" ht="15" x14ac:dyDescent="0.3">
      <c r="A51" s="431"/>
      <c r="B51" s="432"/>
    </row>
    <row r="52" spans="1:2" ht="15" x14ac:dyDescent="0.3">
      <c r="A52" s="431"/>
      <c r="B52" s="432"/>
    </row>
    <row r="53" spans="1:2" ht="15" x14ac:dyDescent="0.3">
      <c r="A53" s="431"/>
      <c r="B53" s="433"/>
    </row>
    <row r="54" spans="1:2" ht="15" x14ac:dyDescent="0.3">
      <c r="A54" s="431"/>
      <c r="B54" s="433"/>
    </row>
    <row r="55" spans="1:2" ht="15" x14ac:dyDescent="0.3">
      <c r="A55" s="431"/>
      <c r="B55" s="433"/>
    </row>
    <row r="56" spans="1:2" ht="15" x14ac:dyDescent="0.3">
      <c r="A56" s="431"/>
      <c r="B56" s="433"/>
    </row>
    <row r="57" spans="1:2" ht="15" x14ac:dyDescent="0.3">
      <c r="A57" s="434"/>
      <c r="B57" s="434"/>
    </row>
    <row r="58" spans="1:2" ht="15" x14ac:dyDescent="0.3">
      <c r="A58" s="431"/>
      <c r="B58" s="432"/>
    </row>
    <row r="59" spans="1:2" ht="15" x14ac:dyDescent="0.3">
      <c r="A59" s="431"/>
      <c r="B59" s="432"/>
    </row>
    <row r="60" spans="1:2" ht="15" x14ac:dyDescent="0.3">
      <c r="A60" s="431"/>
      <c r="B60" s="432"/>
    </row>
    <row r="61" spans="1:2" ht="15" x14ac:dyDescent="0.3">
      <c r="A61" s="431"/>
      <c r="B61" s="432"/>
    </row>
    <row r="62" spans="1:2" ht="15" x14ac:dyDescent="0.3">
      <c r="A62" s="431"/>
      <c r="B62" s="432"/>
    </row>
    <row r="63" spans="1:2" ht="15" x14ac:dyDescent="0.3">
      <c r="A63" s="431"/>
      <c r="B63" s="432"/>
    </row>
    <row r="64" spans="1:2" ht="15" x14ac:dyDescent="0.3">
      <c r="A64" s="431"/>
      <c r="B64" s="432"/>
    </row>
    <row r="65" spans="1:2" ht="15" x14ac:dyDescent="0.3">
      <c r="A65" s="431"/>
      <c r="B65" s="432"/>
    </row>
    <row r="66" spans="1:2" ht="15" x14ac:dyDescent="0.3">
      <c r="A66" s="431"/>
      <c r="B66" s="433"/>
    </row>
    <row r="67" spans="1:2" ht="15" x14ac:dyDescent="0.3">
      <c r="A67" s="431"/>
      <c r="B67" s="433"/>
    </row>
    <row r="68" spans="1:2" ht="15" x14ac:dyDescent="0.3">
      <c r="A68" s="431"/>
      <c r="B68" s="432"/>
    </row>
    <row r="69" spans="1:2" ht="15" x14ac:dyDescent="0.3">
      <c r="A69" s="431"/>
      <c r="B69" s="432"/>
    </row>
    <row r="70" spans="1:2" ht="15" x14ac:dyDescent="0.3">
      <c r="A70" s="431"/>
      <c r="B70" s="432"/>
    </row>
    <row r="71" spans="1:2" ht="15" x14ac:dyDescent="0.3">
      <c r="A71" s="431"/>
      <c r="B71" s="432"/>
    </row>
    <row r="72" spans="1:2" ht="15" x14ac:dyDescent="0.3">
      <c r="A72" s="431"/>
      <c r="B72" s="432"/>
    </row>
    <row r="73" spans="1:2" ht="15" x14ac:dyDescent="0.3">
      <c r="A73" s="431"/>
      <c r="B73" s="432"/>
    </row>
    <row r="74" spans="1:2" ht="15" x14ac:dyDescent="0.3">
      <c r="A74" s="431"/>
      <c r="B74" s="432"/>
    </row>
    <row r="75" spans="1:2" ht="15" x14ac:dyDescent="0.3">
      <c r="A75" s="431"/>
      <c r="B75" s="432"/>
    </row>
    <row r="76" spans="1:2" ht="15" x14ac:dyDescent="0.3">
      <c r="A76" s="431"/>
      <c r="B76" s="432"/>
    </row>
    <row r="77" spans="1:2" ht="15" x14ac:dyDescent="0.3">
      <c r="A77" s="434"/>
      <c r="B77" s="434"/>
    </row>
    <row r="78" spans="1:2" ht="15" x14ac:dyDescent="0.3">
      <c r="A78" s="431"/>
      <c r="B78" s="432"/>
    </row>
    <row r="79" spans="1:2" ht="15" x14ac:dyDescent="0.3">
      <c r="A79" s="431"/>
      <c r="B79" s="432"/>
    </row>
    <row r="80" spans="1:2" ht="15" x14ac:dyDescent="0.3">
      <c r="A80" s="431"/>
      <c r="B80" s="432"/>
    </row>
    <row r="81" spans="1:2" ht="15" x14ac:dyDescent="0.3">
      <c r="A81" s="431"/>
      <c r="B81" s="432"/>
    </row>
    <row r="82" spans="1:2" ht="15" x14ac:dyDescent="0.3">
      <c r="A82" s="431"/>
      <c r="B82" s="432"/>
    </row>
    <row r="83" spans="1:2" ht="15" x14ac:dyDescent="0.3">
      <c r="A83" s="434"/>
      <c r="B83" s="434"/>
    </row>
    <row r="84" spans="1:2" ht="15" x14ac:dyDescent="0.3">
      <c r="A84" s="431"/>
      <c r="B84" s="432"/>
    </row>
    <row r="85" spans="1:2" ht="15" x14ac:dyDescent="0.3">
      <c r="A85" s="431"/>
      <c r="B85" s="432"/>
    </row>
    <row r="86" spans="1:2" ht="15" x14ac:dyDescent="0.3">
      <c r="A86" s="431"/>
      <c r="B86" s="432"/>
    </row>
    <row r="87" spans="1:2" ht="15" x14ac:dyDescent="0.3">
      <c r="A87" s="431"/>
      <c r="B87" s="432"/>
    </row>
    <row r="88" spans="1:2" ht="15" x14ac:dyDescent="0.3">
      <c r="A88" s="431"/>
      <c r="B88" s="432"/>
    </row>
    <row r="89" spans="1:2" ht="15" x14ac:dyDescent="0.3">
      <c r="A89" s="431"/>
      <c r="B89" s="433"/>
    </row>
    <row r="90" spans="1:2" ht="15" x14ac:dyDescent="0.3">
      <c r="A90" s="431"/>
      <c r="B90" s="432"/>
    </row>
    <row r="91" spans="1:2" ht="15" x14ac:dyDescent="0.3">
      <c r="A91" s="431"/>
      <c r="B91" s="433"/>
    </row>
    <row r="92" spans="1:2" ht="15" x14ac:dyDescent="0.3">
      <c r="A92" s="431"/>
      <c r="B92" s="433"/>
    </row>
    <row r="93" spans="1:2" ht="15" x14ac:dyDescent="0.3">
      <c r="A93" s="433"/>
      <c r="B93" s="433"/>
    </row>
    <row r="94" spans="1:2" ht="15" x14ac:dyDescent="0.3">
      <c r="A94" s="431"/>
      <c r="B94" s="432"/>
    </row>
    <row r="95" spans="1:2" ht="15" x14ac:dyDescent="0.3">
      <c r="A95" s="431"/>
      <c r="B95" s="432"/>
    </row>
    <row r="96" spans="1:2" ht="15" x14ac:dyDescent="0.3">
      <c r="A96" s="431"/>
      <c r="B96" s="432"/>
    </row>
    <row r="97" spans="1:2" ht="15" x14ac:dyDescent="0.3">
      <c r="A97" s="431"/>
      <c r="B97" s="432"/>
    </row>
    <row r="98" spans="1:2" ht="15" x14ac:dyDescent="0.3">
      <c r="A98" s="431"/>
      <c r="B98" s="433"/>
    </row>
    <row r="99" spans="1:2" ht="15" x14ac:dyDescent="0.3">
      <c r="A99" s="431"/>
      <c r="B99" s="432"/>
    </row>
    <row r="100" spans="1:2" ht="15" x14ac:dyDescent="0.3">
      <c r="A100" s="431"/>
      <c r="B100" s="432"/>
    </row>
    <row r="101" spans="1:2" ht="15" x14ac:dyDescent="0.3">
      <c r="A101" s="431"/>
      <c r="B101" s="432"/>
    </row>
    <row r="102" spans="1:2" ht="15" x14ac:dyDescent="0.3">
      <c r="A102" s="431"/>
      <c r="B102" s="432"/>
    </row>
    <row r="103" spans="1:2" ht="15" x14ac:dyDescent="0.3">
      <c r="A103" s="431"/>
      <c r="B103" s="432"/>
    </row>
    <row r="104" spans="1:2" ht="15" x14ac:dyDescent="0.3">
      <c r="A104" s="431"/>
      <c r="B104" s="432"/>
    </row>
    <row r="105" spans="1:2" ht="15" x14ac:dyDescent="0.3">
      <c r="A105" s="433"/>
      <c r="B105" s="433"/>
    </row>
    <row r="106" spans="1:2" ht="15" x14ac:dyDescent="0.3">
      <c r="A106" s="431"/>
      <c r="B106" s="433"/>
    </row>
    <row r="107" spans="1:2" ht="15" x14ac:dyDescent="0.3">
      <c r="A107" s="431"/>
      <c r="B107" s="432"/>
    </row>
    <row r="108" spans="1:2" ht="15" x14ac:dyDescent="0.3">
      <c r="A108" s="434"/>
      <c r="B108" s="434"/>
    </row>
    <row r="109" spans="1:2" ht="15" x14ac:dyDescent="0.3">
      <c r="A109" s="431"/>
      <c r="B109" s="432"/>
    </row>
    <row r="110" spans="1:2" ht="15" x14ac:dyDescent="0.3">
      <c r="A110" s="431"/>
      <c r="B110" s="433"/>
    </row>
    <row r="111" spans="1:2" ht="15" x14ac:dyDescent="0.3">
      <c r="A111" s="431"/>
      <c r="B111" s="432"/>
    </row>
    <row r="112" spans="1:2" ht="15" x14ac:dyDescent="0.3">
      <c r="A112" s="431"/>
      <c r="B112" s="432"/>
    </row>
    <row r="113" spans="1:2" ht="15" x14ac:dyDescent="0.3">
      <c r="A113" s="431"/>
      <c r="B113" s="432"/>
    </row>
    <row r="114" spans="1:2" ht="15" x14ac:dyDescent="0.3">
      <c r="A114" s="435"/>
      <c r="B114" s="436"/>
    </row>
    <row r="115" spans="1:2" ht="15" x14ac:dyDescent="0.3">
      <c r="A115" s="431"/>
      <c r="B115" s="432"/>
    </row>
    <row r="116" spans="1:2" ht="15" x14ac:dyDescent="0.3">
      <c r="A116" s="431"/>
      <c r="B116" s="432"/>
    </row>
    <row r="117" spans="1:2" ht="15" x14ac:dyDescent="0.3">
      <c r="A117" s="431"/>
      <c r="B117" s="433"/>
    </row>
    <row r="118" spans="1:2" ht="15" x14ac:dyDescent="0.3">
      <c r="A118" s="437"/>
      <c r="B118" s="432"/>
    </row>
    <row r="119" spans="1:2" ht="15" x14ac:dyDescent="0.3">
      <c r="A119" s="437"/>
      <c r="B119" s="432"/>
    </row>
    <row r="120" spans="1:2" ht="15" x14ac:dyDescent="0.3">
      <c r="A120" s="433"/>
      <c r="B120" s="433"/>
    </row>
    <row r="121" spans="1:2" ht="15" x14ac:dyDescent="0.3">
      <c r="A121" s="431"/>
      <c r="B121" s="433"/>
    </row>
    <row r="122" spans="1:2" ht="15" x14ac:dyDescent="0.3">
      <c r="A122" s="431"/>
      <c r="B122" s="432"/>
    </row>
    <row r="123" spans="1:2" ht="15" x14ac:dyDescent="0.3">
      <c r="A123" s="431"/>
      <c r="B123" s="433"/>
    </row>
    <row r="124" spans="1:2" ht="15" x14ac:dyDescent="0.3">
      <c r="A124" s="431"/>
      <c r="B124" s="432"/>
    </row>
    <row r="125" spans="1:2" ht="15" x14ac:dyDescent="0.3">
      <c r="A125" s="431"/>
      <c r="B125" s="432"/>
    </row>
    <row r="126" spans="1:2" ht="15" x14ac:dyDescent="0.3">
      <c r="A126" s="433"/>
      <c r="B126" s="433"/>
    </row>
    <row r="127" spans="1:2" ht="15" x14ac:dyDescent="0.3">
      <c r="A127" s="433"/>
      <c r="B127" s="433"/>
    </row>
    <row r="128" spans="1:2" ht="15" x14ac:dyDescent="0.3">
      <c r="A128" s="431"/>
      <c r="B128" s="433"/>
    </row>
    <row r="129" spans="1:2" ht="15" x14ac:dyDescent="0.3">
      <c r="A129" s="435"/>
      <c r="B129" s="436"/>
    </row>
    <row r="130" spans="1:2" ht="15" x14ac:dyDescent="0.3">
      <c r="A130" s="431"/>
      <c r="B130" s="432"/>
    </row>
    <row r="131" spans="1:2" ht="15" x14ac:dyDescent="0.3">
      <c r="A131" s="431"/>
      <c r="B131" s="432"/>
    </row>
  </sheetData>
  <pageMargins left="0.7" right="0.7" top="0.75" bottom="0.75" header="0.3" footer="0.3"/>
  <pageSetup scale="5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3"/>
  <dimension ref="A1:AN290"/>
  <sheetViews>
    <sheetView topLeftCell="AQ1" workbookViewId="0">
      <selection activeCell="AT14" sqref="AT14"/>
    </sheetView>
  </sheetViews>
  <sheetFormatPr defaultColWidth="10.42578125" defaultRowHeight="14.25" x14ac:dyDescent="0.2"/>
  <cols>
    <col min="1" max="1" width="14.85546875" style="200" hidden="1" customWidth="1"/>
    <col min="2" max="3" width="10.42578125" style="200" hidden="1" customWidth="1"/>
    <col min="4" max="4" width="10.42578125" style="213" hidden="1" customWidth="1"/>
    <col min="5" max="13" width="10.42578125" style="200" hidden="1" customWidth="1"/>
    <col min="14" max="16" width="10.42578125" style="189" hidden="1" customWidth="1"/>
    <col min="17" max="17" width="38.7109375" style="189" hidden="1" customWidth="1"/>
    <col min="18" max="19" width="10.42578125" style="189" hidden="1" customWidth="1"/>
    <col min="20" max="20" width="45.7109375" style="189" hidden="1" customWidth="1"/>
    <col min="21" max="24" width="10.42578125" style="189" hidden="1" customWidth="1"/>
    <col min="25" max="25" width="16.140625" style="189" hidden="1" customWidth="1"/>
    <col min="26" max="40" width="10.42578125" style="189" hidden="1" customWidth="1"/>
    <col min="41" max="42" width="0" style="189" hidden="1" customWidth="1"/>
    <col min="43" max="16384" width="10.42578125" style="189"/>
  </cols>
  <sheetData>
    <row r="1" spans="1:40" ht="43.5" x14ac:dyDescent="0.25">
      <c r="A1" s="197" t="s">
        <v>390</v>
      </c>
      <c r="B1" s="198" t="s">
        <v>391</v>
      </c>
      <c r="C1" s="677" t="s">
        <v>392</v>
      </c>
      <c r="D1" s="679" t="s">
        <v>393</v>
      </c>
      <c r="E1" s="199" t="s">
        <v>394</v>
      </c>
      <c r="J1" s="200" t="s">
        <v>191</v>
      </c>
      <c r="K1" s="200">
        <v>1</v>
      </c>
      <c r="N1" s="201"/>
      <c r="P1" s="200" t="s">
        <v>10</v>
      </c>
      <c r="Q1" s="202" t="s">
        <v>395</v>
      </c>
      <c r="S1" s="200" t="s">
        <v>396</v>
      </c>
      <c r="T1" s="393" t="s">
        <v>1081</v>
      </c>
      <c r="Y1" s="189" t="s">
        <v>1169</v>
      </c>
      <c r="Z1" s="189" t="s">
        <v>397</v>
      </c>
      <c r="AA1" s="189" t="s">
        <v>398</v>
      </c>
      <c r="AB1" s="189" t="s">
        <v>399</v>
      </c>
      <c r="AC1" s="189" t="s">
        <v>400</v>
      </c>
      <c r="AD1" s="189" t="s">
        <v>401</v>
      </c>
      <c r="AL1" t="s">
        <v>187</v>
      </c>
      <c r="AM1" s="189" t="s">
        <v>1170</v>
      </c>
      <c r="AN1" s="189" t="s">
        <v>195</v>
      </c>
    </row>
    <row r="2" spans="1:40" ht="15" x14ac:dyDescent="0.25">
      <c r="C2" s="678"/>
      <c r="D2" s="680"/>
      <c r="K2" s="200">
        <v>1</v>
      </c>
      <c r="P2" s="200" t="s">
        <v>13</v>
      </c>
      <c r="Q2" s="203" t="s">
        <v>1088</v>
      </c>
      <c r="S2" s="200" t="s">
        <v>19</v>
      </c>
      <c r="T2" s="393" t="s">
        <v>1082</v>
      </c>
      <c r="U2" s="189" t="s">
        <v>402</v>
      </c>
      <c r="V2" s="189" t="s">
        <v>978</v>
      </c>
      <c r="W2" s="189" t="s">
        <v>162</v>
      </c>
      <c r="X2" s="189" t="s">
        <v>403</v>
      </c>
      <c r="Y2" s="189" t="s">
        <v>195</v>
      </c>
      <c r="Z2" s="204" t="s">
        <v>86</v>
      </c>
      <c r="AA2" s="189">
        <v>5000</v>
      </c>
      <c r="AB2" s="189" t="s">
        <v>195</v>
      </c>
      <c r="AC2" s="205">
        <v>0</v>
      </c>
      <c r="AD2" s="189">
        <v>0</v>
      </c>
      <c r="AF2" s="206">
        <v>0</v>
      </c>
      <c r="AG2" s="189" t="s">
        <v>404</v>
      </c>
      <c r="AH2" s="189" t="s">
        <v>405</v>
      </c>
      <c r="AI2" s="189" t="s">
        <v>406</v>
      </c>
      <c r="AJ2" s="189" t="s">
        <v>282</v>
      </c>
      <c r="AK2" s="189">
        <v>1</v>
      </c>
      <c r="AL2" t="s">
        <v>407</v>
      </c>
      <c r="AN2" s="405" t="s">
        <v>1177</v>
      </c>
    </row>
    <row r="3" spans="1:40" ht="15" x14ac:dyDescent="0.25">
      <c r="A3" s="207" t="s">
        <v>408</v>
      </c>
      <c r="B3" s="207"/>
      <c r="C3" s="207">
        <v>2</v>
      </c>
      <c r="D3" s="208">
        <v>2</v>
      </c>
      <c r="E3" s="207" t="s">
        <v>409</v>
      </c>
      <c r="J3" s="209" t="s">
        <v>410</v>
      </c>
      <c r="K3" s="200">
        <v>2</v>
      </c>
      <c r="P3" s="189" t="s">
        <v>1168</v>
      </c>
      <c r="Q3" s="203" t="s">
        <v>1089</v>
      </c>
      <c r="S3" s="200" t="s">
        <v>411</v>
      </c>
      <c r="T3" s="393" t="s">
        <v>1083</v>
      </c>
      <c r="U3" s="189" t="s">
        <v>412</v>
      </c>
      <c r="V3" s="189" t="s">
        <v>979</v>
      </c>
      <c r="W3" s="189" t="s">
        <v>413</v>
      </c>
      <c r="X3" s="189" t="s">
        <v>193</v>
      </c>
      <c r="Y3" s="404">
        <v>0</v>
      </c>
      <c r="Z3" s="204" t="s">
        <v>196</v>
      </c>
      <c r="AA3" s="189">
        <v>10000</v>
      </c>
      <c r="AB3" s="204" t="s">
        <v>86</v>
      </c>
      <c r="AC3" s="205">
        <v>500</v>
      </c>
      <c r="AD3" s="203">
        <v>50</v>
      </c>
      <c r="AE3" s="189" t="s">
        <v>414</v>
      </c>
      <c r="AF3" s="210" t="s">
        <v>415</v>
      </c>
      <c r="AG3" s="189" t="s">
        <v>416</v>
      </c>
      <c r="AH3" s="189" t="s">
        <v>417</v>
      </c>
      <c r="AI3" s="189" t="s">
        <v>418</v>
      </c>
      <c r="AJ3" s="189" t="s">
        <v>419</v>
      </c>
      <c r="AK3" s="189">
        <v>2</v>
      </c>
      <c r="AL3" t="s">
        <v>420</v>
      </c>
      <c r="AN3" s="405" t="s">
        <v>1174</v>
      </c>
    </row>
    <row r="4" spans="1:40" ht="15" x14ac:dyDescent="0.25">
      <c r="A4" s="207" t="s">
        <v>421</v>
      </c>
      <c r="B4" s="207"/>
      <c r="C4" s="200">
        <v>1</v>
      </c>
      <c r="D4" s="200">
        <v>1</v>
      </c>
      <c r="E4" s="207"/>
      <c r="F4" s="200" t="s">
        <v>422</v>
      </c>
      <c r="G4" s="207">
        <v>1</v>
      </c>
      <c r="H4" s="207"/>
      <c r="J4" s="209" t="s">
        <v>423</v>
      </c>
      <c r="K4" s="200">
        <v>3</v>
      </c>
      <c r="Q4" s="203" t="s">
        <v>1090</v>
      </c>
      <c r="S4" s="200" t="s">
        <v>424</v>
      </c>
      <c r="T4" s="393" t="s">
        <v>1084</v>
      </c>
      <c r="W4" s="189" t="s">
        <v>425</v>
      </c>
      <c r="Y4" s="404">
        <v>500</v>
      </c>
      <c r="Z4" s="204">
        <v>30000</v>
      </c>
      <c r="AA4" s="189">
        <v>15000</v>
      </c>
      <c r="AB4" s="204" t="s">
        <v>196</v>
      </c>
      <c r="AC4" s="205">
        <v>750</v>
      </c>
      <c r="AD4" s="203">
        <v>100</v>
      </c>
      <c r="AE4" s="189" t="s">
        <v>426</v>
      </c>
      <c r="AF4" s="210" t="s">
        <v>206</v>
      </c>
      <c r="AG4" s="189" t="s">
        <v>427</v>
      </c>
      <c r="AI4" s="189" t="s">
        <v>428</v>
      </c>
      <c r="AJ4" s="189" t="s">
        <v>429</v>
      </c>
      <c r="AK4" s="189">
        <v>3</v>
      </c>
      <c r="AN4" s="405" t="s">
        <v>1181</v>
      </c>
    </row>
    <row r="5" spans="1:40" ht="15" x14ac:dyDescent="0.25">
      <c r="A5" s="200" t="s">
        <v>396</v>
      </c>
      <c r="C5" s="200">
        <v>2</v>
      </c>
      <c r="D5" s="200">
        <v>2</v>
      </c>
      <c r="E5" s="207"/>
      <c r="F5" s="200" t="s">
        <v>430</v>
      </c>
      <c r="G5" s="207">
        <v>1</v>
      </c>
      <c r="H5" s="207"/>
      <c r="J5" s="209" t="s">
        <v>431</v>
      </c>
      <c r="K5" s="200">
        <v>4</v>
      </c>
      <c r="Q5" s="203" t="s">
        <v>1091</v>
      </c>
      <c r="S5" s="200" t="s">
        <v>432</v>
      </c>
      <c r="Y5" s="404">
        <v>1000</v>
      </c>
      <c r="Z5" s="211" t="s">
        <v>433</v>
      </c>
      <c r="AA5" s="189">
        <v>25000</v>
      </c>
      <c r="AB5" s="204">
        <v>30000</v>
      </c>
      <c r="AC5" s="205">
        <v>1000</v>
      </c>
      <c r="AD5" s="189">
        <v>250</v>
      </c>
      <c r="AE5" s="189" t="s">
        <v>434</v>
      </c>
      <c r="AF5" s="210" t="s">
        <v>435</v>
      </c>
      <c r="AG5" s="189" t="s">
        <v>184</v>
      </c>
      <c r="AI5" s="189" t="s">
        <v>436</v>
      </c>
      <c r="AJ5" s="189" t="s">
        <v>406</v>
      </c>
      <c r="AN5" s="405" t="s">
        <v>1178</v>
      </c>
    </row>
    <row r="6" spans="1:40" ht="15" x14ac:dyDescent="0.25">
      <c r="A6" s="200" t="s">
        <v>19</v>
      </c>
      <c r="C6" s="200">
        <v>3</v>
      </c>
      <c r="D6" s="200">
        <v>3</v>
      </c>
      <c r="E6" s="207"/>
      <c r="F6" s="200" t="s">
        <v>437</v>
      </c>
      <c r="G6" s="207">
        <v>1</v>
      </c>
      <c r="H6" s="207"/>
      <c r="J6" s="209" t="s">
        <v>438</v>
      </c>
      <c r="K6" s="200">
        <v>5</v>
      </c>
      <c r="Q6" s="203" t="s">
        <v>1165</v>
      </c>
      <c r="S6" s="200" t="s">
        <v>439</v>
      </c>
      <c r="Y6" s="404">
        <v>2000</v>
      </c>
      <c r="Z6" s="204">
        <v>35000</v>
      </c>
      <c r="AA6" s="189">
        <v>35000</v>
      </c>
      <c r="AB6" s="211" t="s">
        <v>433</v>
      </c>
      <c r="AC6" s="205">
        <v>1200</v>
      </c>
      <c r="AD6" s="189" t="s">
        <v>195</v>
      </c>
      <c r="AE6" s="189" t="s">
        <v>440</v>
      </c>
      <c r="AF6" s="210" t="s">
        <v>441</v>
      </c>
      <c r="AI6" s="189" t="s">
        <v>224</v>
      </c>
      <c r="AJ6" s="189" t="s">
        <v>418</v>
      </c>
      <c r="AN6" s="405" t="s">
        <v>1172</v>
      </c>
    </row>
    <row r="7" spans="1:40" ht="15" x14ac:dyDescent="0.25">
      <c r="A7" s="200" t="s">
        <v>442</v>
      </c>
      <c r="C7" s="200">
        <v>4</v>
      </c>
      <c r="D7" s="200">
        <v>4</v>
      </c>
      <c r="E7" s="207"/>
      <c r="F7" s="200" t="s">
        <v>443</v>
      </c>
      <c r="G7" s="207">
        <v>1</v>
      </c>
      <c r="H7" s="207"/>
      <c r="J7" s="209" t="s">
        <v>444</v>
      </c>
      <c r="K7" s="200">
        <v>6</v>
      </c>
      <c r="Q7" s="214" t="s">
        <v>1092</v>
      </c>
      <c r="S7" s="200" t="s">
        <v>184</v>
      </c>
      <c r="Y7" s="404">
        <v>5000</v>
      </c>
      <c r="Z7" s="204">
        <v>50000</v>
      </c>
      <c r="AA7" s="189">
        <v>50000</v>
      </c>
      <c r="AB7" s="204">
        <v>35000</v>
      </c>
      <c r="AC7" s="205">
        <v>1500</v>
      </c>
      <c r="AD7" s="203">
        <v>500</v>
      </c>
      <c r="AE7" s="189" t="s">
        <v>445</v>
      </c>
      <c r="AF7" s="210" t="s">
        <v>446</v>
      </c>
      <c r="AJ7" s="189" t="s">
        <v>428</v>
      </c>
      <c r="AN7" s="405" t="s">
        <v>1175</v>
      </c>
    </row>
    <row r="8" spans="1:40" ht="15" x14ac:dyDescent="0.25">
      <c r="A8" s="200" t="s">
        <v>424</v>
      </c>
      <c r="C8" s="200">
        <v>5</v>
      </c>
      <c r="D8" s="200">
        <v>5</v>
      </c>
      <c r="E8" s="207"/>
      <c r="F8" s="200" t="s">
        <v>447</v>
      </c>
      <c r="G8" s="207">
        <v>1</v>
      </c>
      <c r="H8" s="207"/>
      <c r="J8" s="209" t="s">
        <v>448</v>
      </c>
      <c r="K8" s="200">
        <v>7</v>
      </c>
      <c r="Q8" s="214" t="s">
        <v>1093</v>
      </c>
      <c r="Y8" s="404">
        <v>10000</v>
      </c>
      <c r="Z8" s="204" t="s">
        <v>449</v>
      </c>
      <c r="AA8" s="189">
        <v>75000</v>
      </c>
      <c r="AB8" s="204">
        <v>50000</v>
      </c>
      <c r="AC8" s="205">
        <v>1750</v>
      </c>
      <c r="AD8" s="212">
        <v>1000</v>
      </c>
      <c r="AE8" s="189" t="s">
        <v>203</v>
      </c>
      <c r="AF8" s="210" t="s">
        <v>450</v>
      </c>
      <c r="AJ8" s="189" t="s">
        <v>451</v>
      </c>
      <c r="AN8" s="405" t="s">
        <v>1348</v>
      </c>
    </row>
    <row r="9" spans="1:40" ht="15" x14ac:dyDescent="0.25">
      <c r="A9" s="200" t="s">
        <v>421</v>
      </c>
      <c r="D9" s="200"/>
      <c r="E9" s="207"/>
      <c r="F9" s="200" t="s">
        <v>452</v>
      </c>
      <c r="G9" s="207">
        <v>1</v>
      </c>
      <c r="H9" s="207"/>
      <c r="J9" s="209" t="s">
        <v>453</v>
      </c>
      <c r="K9" s="200">
        <v>8</v>
      </c>
      <c r="Q9" s="203" t="s">
        <v>1094</v>
      </c>
      <c r="Z9" s="204" t="s">
        <v>454</v>
      </c>
      <c r="AA9" s="189">
        <v>85000</v>
      </c>
      <c r="AB9" s="204" t="s">
        <v>449</v>
      </c>
      <c r="AC9" s="205">
        <v>2000</v>
      </c>
      <c r="AD9" s="212">
        <v>2000</v>
      </c>
      <c r="AE9" s="189" t="s">
        <v>455</v>
      </c>
      <c r="AF9" s="210" t="s">
        <v>456</v>
      </c>
      <c r="AN9" s="406" t="s">
        <v>1171</v>
      </c>
    </row>
    <row r="10" spans="1:40" ht="15" x14ac:dyDescent="0.25">
      <c r="E10" s="207"/>
      <c r="F10" s="200" t="s">
        <v>457</v>
      </c>
      <c r="G10" s="207">
        <v>1</v>
      </c>
      <c r="H10" s="207"/>
      <c r="J10" s="209" t="s">
        <v>458</v>
      </c>
      <c r="K10" s="200">
        <v>9</v>
      </c>
      <c r="Q10" s="203" t="s">
        <v>1095</v>
      </c>
      <c r="Z10" s="204">
        <v>75000</v>
      </c>
      <c r="AA10" s="189">
        <v>100000</v>
      </c>
      <c r="AB10" s="204" t="s">
        <v>454</v>
      </c>
      <c r="AC10" s="205">
        <v>2250</v>
      </c>
      <c r="AD10" s="212">
        <v>2500</v>
      </c>
      <c r="AE10" s="189" t="s">
        <v>988</v>
      </c>
      <c r="AF10" s="210" t="s">
        <v>459</v>
      </c>
      <c r="AN10" s="405" t="s">
        <v>1176</v>
      </c>
    </row>
    <row r="11" spans="1:40" ht="15" x14ac:dyDescent="0.25">
      <c r="A11" s="207" t="s">
        <v>460</v>
      </c>
      <c r="B11" s="207"/>
      <c r="C11" s="207">
        <v>6</v>
      </c>
      <c r="D11" s="208">
        <v>1</v>
      </c>
      <c r="E11" s="207"/>
      <c r="F11" s="200" t="s">
        <v>461</v>
      </c>
      <c r="G11" s="207">
        <v>1</v>
      </c>
      <c r="H11" s="207"/>
      <c r="Q11" s="203" t="s">
        <v>1096</v>
      </c>
      <c r="Z11" s="204">
        <v>85000</v>
      </c>
      <c r="AA11" s="189">
        <v>125000</v>
      </c>
      <c r="AB11" s="204">
        <v>75000</v>
      </c>
      <c r="AC11" s="205">
        <v>2500</v>
      </c>
      <c r="AD11" s="212">
        <v>3000</v>
      </c>
      <c r="AE11" s="189" t="s">
        <v>989</v>
      </c>
      <c r="AF11" s="210" t="s">
        <v>462</v>
      </c>
      <c r="AN11" s="405" t="s">
        <v>1173</v>
      </c>
    </row>
    <row r="12" spans="1:40" ht="15" x14ac:dyDescent="0.25">
      <c r="A12" s="207" t="s">
        <v>421</v>
      </c>
      <c r="B12" s="207"/>
      <c r="C12" s="207">
        <v>12</v>
      </c>
      <c r="D12" s="208">
        <v>1</v>
      </c>
      <c r="E12" s="207" t="s">
        <v>421</v>
      </c>
      <c r="G12" s="200">
        <v>1</v>
      </c>
      <c r="K12" s="207" t="s">
        <v>463</v>
      </c>
      <c r="M12" s="200">
        <v>1</v>
      </c>
      <c r="Q12" s="203" t="s">
        <v>1097</v>
      </c>
      <c r="Z12" s="204">
        <v>100000</v>
      </c>
      <c r="AA12" s="189">
        <v>150000</v>
      </c>
      <c r="AB12" s="204">
        <v>85000</v>
      </c>
      <c r="AC12" s="205">
        <v>3000</v>
      </c>
      <c r="AD12" s="212">
        <v>5000</v>
      </c>
      <c r="AE12" s="189" t="s">
        <v>990</v>
      </c>
      <c r="AF12" s="210" t="s">
        <v>464</v>
      </c>
      <c r="AN12" t="s">
        <v>1224</v>
      </c>
    </row>
    <row r="13" spans="1:40" ht="15" x14ac:dyDescent="0.25">
      <c r="A13" s="207" t="s">
        <v>421</v>
      </c>
      <c r="B13" s="207"/>
      <c r="C13" s="207">
        <v>1</v>
      </c>
      <c r="D13" s="208">
        <v>1</v>
      </c>
      <c r="E13" s="200" t="s">
        <v>465</v>
      </c>
      <c r="G13" s="200">
        <v>2</v>
      </c>
      <c r="K13" s="207" t="s">
        <v>421</v>
      </c>
      <c r="M13" s="200">
        <v>1</v>
      </c>
      <c r="Q13" s="203" t="s">
        <v>1098</v>
      </c>
      <c r="Z13" s="204" t="s">
        <v>466</v>
      </c>
      <c r="AA13" s="189">
        <v>250000</v>
      </c>
      <c r="AB13" s="204">
        <v>100000</v>
      </c>
      <c r="AC13" s="205">
        <v>3500</v>
      </c>
      <c r="AE13" s="189" t="s">
        <v>991</v>
      </c>
      <c r="AN13" t="s">
        <v>1225</v>
      </c>
    </row>
    <row r="14" spans="1:40" ht="15" x14ac:dyDescent="0.25">
      <c r="A14" s="207" t="s">
        <v>421</v>
      </c>
      <c r="C14" s="200">
        <v>1</v>
      </c>
      <c r="D14" s="213">
        <v>1</v>
      </c>
      <c r="E14" s="200" t="s">
        <v>467</v>
      </c>
      <c r="G14" s="200">
        <v>3</v>
      </c>
      <c r="K14" s="200" t="s">
        <v>465</v>
      </c>
      <c r="M14" s="200">
        <v>2</v>
      </c>
      <c r="Q14" s="203" t="s">
        <v>1099</v>
      </c>
      <c r="Z14" s="204">
        <v>125000</v>
      </c>
      <c r="AA14" s="189">
        <v>300000</v>
      </c>
      <c r="AB14" s="204" t="s">
        <v>466</v>
      </c>
      <c r="AC14" s="205">
        <v>5000</v>
      </c>
      <c r="AN14" t="s">
        <v>1223</v>
      </c>
    </row>
    <row r="15" spans="1:40" ht="15" x14ac:dyDescent="0.25">
      <c r="A15" s="200" t="s">
        <v>468</v>
      </c>
      <c r="C15" s="200">
        <v>2</v>
      </c>
      <c r="D15" s="213">
        <v>2</v>
      </c>
      <c r="E15" s="200" t="s">
        <v>421</v>
      </c>
      <c r="K15" s="200" t="s">
        <v>467</v>
      </c>
      <c r="M15" s="200">
        <v>3</v>
      </c>
      <c r="Q15" s="216" t="s">
        <v>1100</v>
      </c>
      <c r="Z15" s="204" t="s">
        <v>469</v>
      </c>
      <c r="AA15" s="189">
        <v>350000</v>
      </c>
      <c r="AB15" s="204">
        <v>125000</v>
      </c>
      <c r="AC15" s="205">
        <v>10000</v>
      </c>
      <c r="AN15" t="s">
        <v>1227</v>
      </c>
    </row>
    <row r="16" spans="1:40" ht="15" x14ac:dyDescent="0.25">
      <c r="A16" s="200" t="s">
        <v>470</v>
      </c>
      <c r="C16" s="200">
        <v>3</v>
      </c>
      <c r="D16" s="213">
        <v>3</v>
      </c>
      <c r="G16" s="200">
        <v>3</v>
      </c>
      <c r="K16" s="200" t="s">
        <v>421</v>
      </c>
      <c r="Q16" s="203" t="s">
        <v>1149</v>
      </c>
      <c r="Z16" s="204">
        <v>150000</v>
      </c>
      <c r="AA16" s="189">
        <v>500000</v>
      </c>
      <c r="AB16" s="204" t="s">
        <v>469</v>
      </c>
      <c r="AC16" s="205">
        <v>25000</v>
      </c>
      <c r="AN16" t="s">
        <v>1228</v>
      </c>
    </row>
    <row r="17" spans="1:40" ht="15" x14ac:dyDescent="0.25">
      <c r="A17" s="200" t="s">
        <v>471</v>
      </c>
      <c r="C17" s="200">
        <v>4</v>
      </c>
      <c r="D17" s="213">
        <v>4</v>
      </c>
      <c r="Q17" s="203" t="s">
        <v>1150</v>
      </c>
      <c r="Z17" s="204">
        <v>250000</v>
      </c>
      <c r="AA17" s="189">
        <v>650000</v>
      </c>
      <c r="AB17" s="204">
        <v>150000</v>
      </c>
      <c r="AC17" s="205">
        <v>50000</v>
      </c>
      <c r="AN17" t="s">
        <v>1226</v>
      </c>
    </row>
    <row r="18" spans="1:40" ht="15.75" thickBot="1" x14ac:dyDescent="0.3">
      <c r="A18" s="200" t="s">
        <v>472</v>
      </c>
      <c r="C18" s="200">
        <v>5</v>
      </c>
      <c r="D18" s="213">
        <v>5</v>
      </c>
      <c r="Q18" s="203" t="s">
        <v>1151</v>
      </c>
      <c r="Z18" s="204" t="s">
        <v>473</v>
      </c>
      <c r="AA18" s="189">
        <v>750000</v>
      </c>
      <c r="AB18" s="204">
        <v>250000</v>
      </c>
      <c r="AC18" s="215">
        <v>60000</v>
      </c>
      <c r="AN18" s="405" t="s">
        <v>1179</v>
      </c>
    </row>
    <row r="19" spans="1:40" ht="15" x14ac:dyDescent="0.25">
      <c r="A19" s="200" t="s">
        <v>474</v>
      </c>
      <c r="C19" s="200">
        <v>6</v>
      </c>
      <c r="D19" s="213">
        <v>6</v>
      </c>
      <c r="E19" s="207" t="s">
        <v>475</v>
      </c>
      <c r="G19" s="207">
        <v>1</v>
      </c>
      <c r="H19" s="207"/>
      <c r="Q19" s="203" t="s">
        <v>1152</v>
      </c>
      <c r="Z19" s="204">
        <v>300000</v>
      </c>
      <c r="AA19" s="189">
        <v>1000000</v>
      </c>
      <c r="AB19" s="204" t="s">
        <v>473</v>
      </c>
      <c r="AN19" t="s">
        <v>1317</v>
      </c>
    </row>
    <row r="20" spans="1:40" ht="15" x14ac:dyDescent="0.25">
      <c r="A20" s="200" t="s">
        <v>476</v>
      </c>
      <c r="C20" s="200">
        <v>7</v>
      </c>
      <c r="D20" s="213">
        <v>7</v>
      </c>
      <c r="E20" s="207" t="s">
        <v>421</v>
      </c>
      <c r="G20" s="200">
        <v>1</v>
      </c>
      <c r="Q20" s="203" t="s">
        <v>1101</v>
      </c>
      <c r="Z20" s="204">
        <v>350000</v>
      </c>
      <c r="AA20" s="189">
        <v>1500000</v>
      </c>
      <c r="AB20" s="204">
        <v>300000</v>
      </c>
      <c r="AN20" t="s">
        <v>1319</v>
      </c>
    </row>
    <row r="21" spans="1:40" ht="15" x14ac:dyDescent="0.25">
      <c r="A21" s="200" t="s">
        <v>477</v>
      </c>
      <c r="C21" s="200">
        <v>8</v>
      </c>
      <c r="D21" s="213">
        <v>8</v>
      </c>
      <c r="E21" s="217">
        <v>1000000</v>
      </c>
      <c r="G21" s="200">
        <v>2</v>
      </c>
      <c r="Q21" s="203" t="s">
        <v>1102</v>
      </c>
      <c r="Z21" s="204">
        <v>500000</v>
      </c>
      <c r="AA21" s="189">
        <v>2000000</v>
      </c>
      <c r="AB21" s="204">
        <v>350000</v>
      </c>
      <c r="AN21" t="s">
        <v>1318</v>
      </c>
    </row>
    <row r="22" spans="1:40" ht="15" x14ac:dyDescent="0.25">
      <c r="A22" s="200" t="s">
        <v>478</v>
      </c>
      <c r="C22" s="200">
        <v>9</v>
      </c>
      <c r="D22" s="213">
        <v>9</v>
      </c>
      <c r="E22" s="218" t="s">
        <v>184</v>
      </c>
      <c r="G22" s="200">
        <v>3</v>
      </c>
      <c r="Q22" s="189" t="s">
        <v>1103</v>
      </c>
      <c r="Z22" s="204">
        <v>650000</v>
      </c>
      <c r="AA22" s="189">
        <v>3000000</v>
      </c>
      <c r="AB22" s="204">
        <v>500000</v>
      </c>
      <c r="AN22" t="s">
        <v>1293</v>
      </c>
    </row>
    <row r="23" spans="1:40" ht="15" x14ac:dyDescent="0.25">
      <c r="A23" s="200" t="s">
        <v>479</v>
      </c>
      <c r="C23" s="200">
        <v>10</v>
      </c>
      <c r="D23" s="213">
        <v>10</v>
      </c>
      <c r="Q23" s="189" t="s">
        <v>1104</v>
      </c>
      <c r="Z23" s="204">
        <v>750000</v>
      </c>
      <c r="AA23" s="189">
        <v>5000000</v>
      </c>
      <c r="AB23" s="204">
        <v>650000</v>
      </c>
      <c r="AN23" t="s">
        <v>1294</v>
      </c>
    </row>
    <row r="24" spans="1:40" ht="15" x14ac:dyDescent="0.25">
      <c r="A24" s="200" t="s">
        <v>480</v>
      </c>
      <c r="C24" s="200">
        <v>11</v>
      </c>
      <c r="D24" s="213">
        <v>11</v>
      </c>
      <c r="E24" s="200" t="s">
        <v>421</v>
      </c>
      <c r="Q24" s="189" t="s">
        <v>1105</v>
      </c>
      <c r="Z24" s="204">
        <v>1000000</v>
      </c>
      <c r="AB24" s="204">
        <v>750000</v>
      </c>
      <c r="AN24" t="s">
        <v>1295</v>
      </c>
    </row>
    <row r="25" spans="1:40" ht="15" x14ac:dyDescent="0.25">
      <c r="A25" s="200" t="s">
        <v>481</v>
      </c>
      <c r="C25" s="200">
        <v>12</v>
      </c>
      <c r="D25" s="213">
        <v>12</v>
      </c>
      <c r="Q25" s="189" t="s">
        <v>1106</v>
      </c>
      <c r="Z25" s="204">
        <v>1500000</v>
      </c>
      <c r="AB25" s="204">
        <v>1000000</v>
      </c>
      <c r="AN25" t="s">
        <v>1296</v>
      </c>
    </row>
    <row r="26" spans="1:40" ht="15.75" thickBot="1" x14ac:dyDescent="0.3">
      <c r="A26" s="200" t="s">
        <v>482</v>
      </c>
      <c r="C26" s="200">
        <v>13</v>
      </c>
      <c r="D26" s="213">
        <v>13</v>
      </c>
      <c r="E26" s="207" t="s">
        <v>483</v>
      </c>
      <c r="G26" s="207">
        <v>1</v>
      </c>
      <c r="H26" s="207"/>
      <c r="I26" s="207" t="s">
        <v>191</v>
      </c>
      <c r="Q26" s="189" t="s">
        <v>1107</v>
      </c>
      <c r="Z26" s="219">
        <v>2000000</v>
      </c>
      <c r="AB26" s="204">
        <v>1500000</v>
      </c>
      <c r="AN26" t="s">
        <v>1289</v>
      </c>
    </row>
    <row r="27" spans="1:40" ht="15.75" thickBot="1" x14ac:dyDescent="0.3">
      <c r="A27" s="200" t="s">
        <v>484</v>
      </c>
      <c r="C27" s="200">
        <v>14</v>
      </c>
      <c r="D27" s="213">
        <v>14</v>
      </c>
      <c r="E27" s="207" t="s">
        <v>421</v>
      </c>
      <c r="G27" s="200">
        <v>1</v>
      </c>
      <c r="I27" s="207"/>
      <c r="L27" s="207">
        <v>1</v>
      </c>
      <c r="Q27" s="189" t="s">
        <v>1108</v>
      </c>
      <c r="Z27" s="204">
        <v>3000000</v>
      </c>
      <c r="AB27" s="219">
        <v>2000000</v>
      </c>
      <c r="AN27" t="s">
        <v>1290</v>
      </c>
    </row>
    <row r="28" spans="1:40" ht="15" x14ac:dyDescent="0.25">
      <c r="A28" s="200" t="s">
        <v>485</v>
      </c>
      <c r="C28" s="200">
        <v>15</v>
      </c>
      <c r="D28" s="213">
        <v>15</v>
      </c>
      <c r="E28" s="220">
        <v>60000</v>
      </c>
      <c r="G28" s="200">
        <v>2</v>
      </c>
      <c r="I28" s="207"/>
      <c r="L28" s="207">
        <v>1</v>
      </c>
      <c r="Q28" s="189" t="s">
        <v>1109</v>
      </c>
      <c r="Z28" s="204">
        <v>4000000</v>
      </c>
      <c r="AB28" s="204">
        <v>3000000</v>
      </c>
      <c r="AN28" t="s">
        <v>1291</v>
      </c>
    </row>
    <row r="29" spans="1:40" ht="15.75" thickBot="1" x14ac:dyDescent="0.3">
      <c r="A29" s="200" t="s">
        <v>486</v>
      </c>
      <c r="C29" s="200">
        <v>16</v>
      </c>
      <c r="D29" s="213">
        <v>16</v>
      </c>
      <c r="E29" s="220">
        <v>75000</v>
      </c>
      <c r="G29" s="200">
        <v>3</v>
      </c>
      <c r="I29" s="207"/>
      <c r="J29" s="200" t="s">
        <v>487</v>
      </c>
      <c r="L29" s="207">
        <v>1</v>
      </c>
      <c r="Q29" s="189" t="s">
        <v>1110</v>
      </c>
      <c r="Z29" s="219">
        <v>5000000</v>
      </c>
      <c r="AB29" s="204">
        <v>4000000</v>
      </c>
      <c r="AN29" t="s">
        <v>1292</v>
      </c>
    </row>
    <row r="30" spans="1:40" ht="15.75" thickBot="1" x14ac:dyDescent="0.3">
      <c r="A30" s="200" t="s">
        <v>488</v>
      </c>
      <c r="C30" s="200">
        <v>17</v>
      </c>
      <c r="D30" s="213">
        <v>17</v>
      </c>
      <c r="E30" s="220">
        <v>90000</v>
      </c>
      <c r="G30" s="200">
        <v>4</v>
      </c>
      <c r="I30" s="207" t="s">
        <v>421</v>
      </c>
      <c r="J30" s="200" t="s">
        <v>489</v>
      </c>
      <c r="L30" s="200">
        <v>1</v>
      </c>
      <c r="Q30" s="189" t="s">
        <v>1111</v>
      </c>
      <c r="AB30" s="219">
        <v>5000000</v>
      </c>
      <c r="AN30" t="s">
        <v>1192</v>
      </c>
    </row>
    <row r="31" spans="1:40" ht="15" x14ac:dyDescent="0.25">
      <c r="A31" s="200" t="s">
        <v>490</v>
      </c>
      <c r="C31" s="200">
        <v>18</v>
      </c>
      <c r="D31" s="213">
        <v>18</v>
      </c>
      <c r="E31" s="220">
        <v>120000</v>
      </c>
      <c r="G31" s="200">
        <v>5</v>
      </c>
      <c r="I31" s="209" t="s">
        <v>491</v>
      </c>
      <c r="J31" s="200" t="s">
        <v>492</v>
      </c>
      <c r="L31" s="200">
        <v>2</v>
      </c>
      <c r="Q31" s="189" t="s">
        <v>1112</v>
      </c>
      <c r="AN31" t="s">
        <v>1187</v>
      </c>
    </row>
    <row r="32" spans="1:40" ht="15" x14ac:dyDescent="0.25">
      <c r="A32" s="200" t="s">
        <v>493</v>
      </c>
      <c r="C32" s="200">
        <v>19</v>
      </c>
      <c r="D32" s="213">
        <v>19</v>
      </c>
      <c r="E32" s="220">
        <v>150000</v>
      </c>
      <c r="G32" s="200">
        <v>6</v>
      </c>
      <c r="I32" s="209" t="s">
        <v>494</v>
      </c>
      <c r="L32" s="200">
        <v>3</v>
      </c>
      <c r="Q32" s="189" t="s">
        <v>1113</v>
      </c>
      <c r="AN32" t="s">
        <v>1188</v>
      </c>
    </row>
    <row r="33" spans="1:40" ht="15" x14ac:dyDescent="0.25">
      <c r="A33" s="200" t="s">
        <v>495</v>
      </c>
      <c r="C33" s="200">
        <v>20</v>
      </c>
      <c r="D33" s="213">
        <v>20</v>
      </c>
      <c r="E33" s="220">
        <v>180000</v>
      </c>
      <c r="G33" s="200">
        <v>7</v>
      </c>
      <c r="I33" s="209" t="s">
        <v>410</v>
      </c>
      <c r="L33" s="200">
        <v>4</v>
      </c>
      <c r="Q33" s="189" t="s">
        <v>1114</v>
      </c>
      <c r="AN33" t="s">
        <v>1189</v>
      </c>
    </row>
    <row r="34" spans="1:40" ht="15" x14ac:dyDescent="0.25">
      <c r="A34" s="200" t="s">
        <v>496</v>
      </c>
      <c r="C34" s="200">
        <v>21</v>
      </c>
      <c r="D34" s="213">
        <v>21</v>
      </c>
      <c r="E34" s="220">
        <v>225000</v>
      </c>
      <c r="G34" s="200">
        <v>8</v>
      </c>
      <c r="I34" s="209" t="s">
        <v>423</v>
      </c>
      <c r="L34" s="200">
        <v>5</v>
      </c>
      <c r="Q34" s="189" t="s">
        <v>1115</v>
      </c>
      <c r="AN34" t="s">
        <v>1190</v>
      </c>
    </row>
    <row r="35" spans="1:40" ht="15" x14ac:dyDescent="0.25">
      <c r="A35" s="200" t="s">
        <v>497</v>
      </c>
      <c r="C35" s="200">
        <v>22</v>
      </c>
      <c r="D35" s="213">
        <v>22</v>
      </c>
      <c r="E35" s="220">
        <v>300000</v>
      </c>
      <c r="G35" s="200">
        <v>9</v>
      </c>
      <c r="I35" s="209" t="s">
        <v>431</v>
      </c>
      <c r="L35" s="200">
        <v>6</v>
      </c>
      <c r="Q35" s="189" t="s">
        <v>1116</v>
      </c>
      <c r="AN35" t="s">
        <v>1191</v>
      </c>
    </row>
    <row r="36" spans="1:40" ht="15" x14ac:dyDescent="0.25">
      <c r="A36" s="200" t="s">
        <v>498</v>
      </c>
      <c r="C36" s="200">
        <v>23</v>
      </c>
      <c r="D36" s="213">
        <v>23</v>
      </c>
      <c r="E36" s="220">
        <v>375000</v>
      </c>
      <c r="G36" s="200">
        <v>10</v>
      </c>
      <c r="I36" s="209" t="s">
        <v>438</v>
      </c>
      <c r="L36" s="200">
        <v>7</v>
      </c>
      <c r="Q36" s="189" t="s">
        <v>1117</v>
      </c>
      <c r="AN36" t="s">
        <v>1313</v>
      </c>
    </row>
    <row r="37" spans="1:40" ht="15" x14ac:dyDescent="0.25">
      <c r="A37" s="200" t="s">
        <v>499</v>
      </c>
      <c r="C37" s="200">
        <v>24</v>
      </c>
      <c r="D37" s="213">
        <v>24</v>
      </c>
      <c r="E37" s="220">
        <v>450000</v>
      </c>
      <c r="G37" s="200">
        <v>11</v>
      </c>
      <c r="I37" s="209" t="s">
        <v>500</v>
      </c>
      <c r="L37" s="200">
        <v>8</v>
      </c>
      <c r="Q37" s="189" t="s">
        <v>1118</v>
      </c>
      <c r="AN37" t="s">
        <v>1314</v>
      </c>
    </row>
    <row r="38" spans="1:40" ht="15" x14ac:dyDescent="0.25">
      <c r="A38" s="200" t="s">
        <v>501</v>
      </c>
      <c r="C38" s="200">
        <v>25</v>
      </c>
      <c r="D38" s="213">
        <v>25</v>
      </c>
      <c r="E38" s="220">
        <v>600000</v>
      </c>
      <c r="G38" s="200">
        <v>12</v>
      </c>
      <c r="I38" s="200" t="s">
        <v>421</v>
      </c>
      <c r="Q38" s="189" t="s">
        <v>1119</v>
      </c>
      <c r="AN38" t="s">
        <v>1315</v>
      </c>
    </row>
    <row r="39" spans="1:40" ht="15" x14ac:dyDescent="0.25">
      <c r="A39" s="200" t="s">
        <v>502</v>
      </c>
      <c r="C39" s="200">
        <v>26</v>
      </c>
      <c r="D39" s="213">
        <v>26</v>
      </c>
      <c r="E39" s="220">
        <v>750000</v>
      </c>
      <c r="G39" s="200">
        <v>13</v>
      </c>
      <c r="Q39" s="189" t="s">
        <v>1119</v>
      </c>
      <c r="AN39" t="s">
        <v>1316</v>
      </c>
    </row>
    <row r="40" spans="1:40" ht="15" x14ac:dyDescent="0.25">
      <c r="A40" s="200" t="s">
        <v>503</v>
      </c>
      <c r="C40" s="200">
        <v>27</v>
      </c>
      <c r="D40" s="213">
        <v>27</v>
      </c>
      <c r="E40" s="200" t="s">
        <v>421</v>
      </c>
      <c r="Q40" s="189" t="s">
        <v>1120</v>
      </c>
      <c r="AN40" t="s">
        <v>1297</v>
      </c>
    </row>
    <row r="41" spans="1:40" ht="15" x14ac:dyDescent="0.25">
      <c r="A41" s="200" t="s">
        <v>504</v>
      </c>
      <c r="C41" s="200">
        <v>28</v>
      </c>
      <c r="D41" s="213">
        <v>28</v>
      </c>
      <c r="Q41" s="189" t="s">
        <v>1121</v>
      </c>
      <c r="AN41" t="s">
        <v>1305</v>
      </c>
    </row>
    <row r="42" spans="1:40" ht="15" x14ac:dyDescent="0.25">
      <c r="A42" s="200" t="s">
        <v>505</v>
      </c>
      <c r="C42" s="200">
        <v>29</v>
      </c>
      <c r="D42" s="213">
        <v>29</v>
      </c>
      <c r="Q42" s="189" t="s">
        <v>1122</v>
      </c>
      <c r="AN42" t="s">
        <v>1298</v>
      </c>
    </row>
    <row r="43" spans="1:40" ht="15" x14ac:dyDescent="0.25">
      <c r="A43" s="200" t="s">
        <v>506</v>
      </c>
      <c r="C43" s="200">
        <v>30</v>
      </c>
      <c r="D43" s="213">
        <v>30</v>
      </c>
      <c r="Q43" s="189" t="s">
        <v>1123</v>
      </c>
      <c r="AN43" t="s">
        <v>1306</v>
      </c>
    </row>
    <row r="44" spans="1:40" ht="15" x14ac:dyDescent="0.25">
      <c r="A44" s="200" t="s">
        <v>507</v>
      </c>
      <c r="C44" s="200">
        <v>31</v>
      </c>
      <c r="D44" s="213">
        <v>31</v>
      </c>
      <c r="Q44" s="189" t="s">
        <v>1124</v>
      </c>
      <c r="AN44" t="s">
        <v>1299</v>
      </c>
    </row>
    <row r="45" spans="1:40" ht="15" x14ac:dyDescent="0.25">
      <c r="A45" s="200" t="s">
        <v>508</v>
      </c>
      <c r="C45" s="200">
        <v>32</v>
      </c>
      <c r="D45" s="213">
        <v>32</v>
      </c>
      <c r="Q45" s="189" t="s">
        <v>1125</v>
      </c>
      <c r="AN45" t="s">
        <v>1307</v>
      </c>
    </row>
    <row r="46" spans="1:40" ht="15" x14ac:dyDescent="0.25">
      <c r="A46" s="200" t="s">
        <v>509</v>
      </c>
      <c r="C46" s="200">
        <v>33</v>
      </c>
      <c r="D46" s="213">
        <v>33</v>
      </c>
      <c r="Q46" s="189" t="s">
        <v>1126</v>
      </c>
      <c r="AN46" t="s">
        <v>1300</v>
      </c>
    </row>
    <row r="47" spans="1:40" ht="15" x14ac:dyDescent="0.25">
      <c r="A47" s="200" t="s">
        <v>510</v>
      </c>
      <c r="C47" s="200">
        <v>34</v>
      </c>
      <c r="D47" s="213">
        <v>34</v>
      </c>
      <c r="Q47" s="189" t="s">
        <v>1127</v>
      </c>
      <c r="AN47" t="s">
        <v>1308</v>
      </c>
    </row>
    <row r="48" spans="1:40" ht="15" x14ac:dyDescent="0.25">
      <c r="A48" s="200" t="s">
        <v>511</v>
      </c>
      <c r="C48" s="200">
        <v>35</v>
      </c>
      <c r="D48" s="213">
        <v>35</v>
      </c>
      <c r="F48" s="200">
        <v>1</v>
      </c>
      <c r="G48" s="200">
        <v>1</v>
      </c>
      <c r="Q48" s="189" t="s">
        <v>1128</v>
      </c>
      <c r="AN48" t="s">
        <v>1301</v>
      </c>
    </row>
    <row r="49" spans="1:40" ht="15" x14ac:dyDescent="0.25">
      <c r="A49" s="200" t="s">
        <v>512</v>
      </c>
      <c r="C49" s="200">
        <v>36</v>
      </c>
      <c r="D49" s="213">
        <v>36</v>
      </c>
      <c r="F49" s="200">
        <v>2</v>
      </c>
      <c r="G49" s="200">
        <v>2</v>
      </c>
      <c r="Q49" s="189" t="s">
        <v>1129</v>
      </c>
      <c r="AN49" t="s">
        <v>1309</v>
      </c>
    </row>
    <row r="50" spans="1:40" ht="15" x14ac:dyDescent="0.25">
      <c r="A50" s="200" t="s">
        <v>513</v>
      </c>
      <c r="C50" s="200">
        <v>37</v>
      </c>
      <c r="D50" s="213">
        <v>37</v>
      </c>
      <c r="F50" s="200">
        <v>3</v>
      </c>
      <c r="G50" s="200">
        <v>3</v>
      </c>
      <c r="Q50" s="189" t="s">
        <v>1130</v>
      </c>
      <c r="AN50" t="s">
        <v>1302</v>
      </c>
    </row>
    <row r="51" spans="1:40" ht="15" x14ac:dyDescent="0.25">
      <c r="A51" s="200" t="s">
        <v>514</v>
      </c>
      <c r="C51" s="200">
        <v>38</v>
      </c>
      <c r="D51" s="213">
        <v>38</v>
      </c>
      <c r="Q51" s="189" t="s">
        <v>1131</v>
      </c>
      <c r="AN51" t="s">
        <v>1310</v>
      </c>
    </row>
    <row r="52" spans="1:40" ht="15" x14ac:dyDescent="0.25">
      <c r="A52" s="200" t="s">
        <v>515</v>
      </c>
      <c r="C52" s="200">
        <v>39</v>
      </c>
      <c r="D52" s="213">
        <v>39</v>
      </c>
      <c r="Q52" s="189" t="s">
        <v>1132</v>
      </c>
      <c r="AN52" t="s">
        <v>1303</v>
      </c>
    </row>
    <row r="53" spans="1:40" ht="15" x14ac:dyDescent="0.25">
      <c r="A53" s="200" t="s">
        <v>516</v>
      </c>
      <c r="C53" s="200">
        <v>40</v>
      </c>
      <c r="D53" s="213">
        <v>40</v>
      </c>
      <c r="Q53" s="189" t="s">
        <v>1133</v>
      </c>
      <c r="AN53" t="s">
        <v>1311</v>
      </c>
    </row>
    <row r="54" spans="1:40" ht="15" x14ac:dyDescent="0.25">
      <c r="A54" s="200" t="s">
        <v>517</v>
      </c>
      <c r="C54" s="200">
        <v>41</v>
      </c>
      <c r="D54" s="213">
        <v>41</v>
      </c>
      <c r="Q54" s="189" t="s">
        <v>1134</v>
      </c>
      <c r="AN54" t="s">
        <v>1304</v>
      </c>
    </row>
    <row r="55" spans="1:40" ht="15" x14ac:dyDescent="0.25">
      <c r="A55" s="200" t="s">
        <v>518</v>
      </c>
      <c r="C55" s="200">
        <v>42</v>
      </c>
      <c r="D55" s="213">
        <v>42</v>
      </c>
      <c r="F55" s="200">
        <v>1</v>
      </c>
      <c r="Q55" s="189" t="s">
        <v>1135</v>
      </c>
      <c r="AN55" t="s">
        <v>1312</v>
      </c>
    </row>
    <row r="56" spans="1:40" ht="15" x14ac:dyDescent="0.25">
      <c r="A56" s="200" t="s">
        <v>519</v>
      </c>
      <c r="C56" s="200">
        <v>43</v>
      </c>
      <c r="D56" s="213">
        <v>43</v>
      </c>
      <c r="F56" s="200">
        <v>1</v>
      </c>
      <c r="Q56" s="189" t="s">
        <v>1136</v>
      </c>
      <c r="AN56" t="s">
        <v>1182</v>
      </c>
    </row>
    <row r="57" spans="1:40" ht="15" x14ac:dyDescent="0.25">
      <c r="A57" s="200" t="s">
        <v>520</v>
      </c>
      <c r="C57" s="200">
        <v>44</v>
      </c>
      <c r="D57" s="213">
        <v>44</v>
      </c>
      <c r="F57" s="200">
        <v>2</v>
      </c>
      <c r="Q57" s="189" t="s">
        <v>1137</v>
      </c>
      <c r="AN57" t="s">
        <v>1185</v>
      </c>
    </row>
    <row r="58" spans="1:40" ht="15" x14ac:dyDescent="0.25">
      <c r="A58" s="200" t="s">
        <v>521</v>
      </c>
      <c r="C58" s="200">
        <v>45</v>
      </c>
      <c r="D58" s="213">
        <v>45</v>
      </c>
      <c r="F58" s="200">
        <v>3</v>
      </c>
      <c r="Q58" s="189" t="s">
        <v>1138</v>
      </c>
      <c r="AN58" t="s">
        <v>1186</v>
      </c>
    </row>
    <row r="59" spans="1:40" ht="15" x14ac:dyDescent="0.25">
      <c r="A59" s="200" t="s">
        <v>522</v>
      </c>
      <c r="C59" s="200">
        <v>46</v>
      </c>
      <c r="D59" s="213">
        <v>46</v>
      </c>
      <c r="F59" s="200">
        <v>4</v>
      </c>
      <c r="Q59" s="189" t="s">
        <v>1139</v>
      </c>
      <c r="AN59" t="s">
        <v>1183</v>
      </c>
    </row>
    <row r="60" spans="1:40" ht="15" x14ac:dyDescent="0.25">
      <c r="A60" s="200" t="s">
        <v>523</v>
      </c>
      <c r="C60" s="200">
        <v>47</v>
      </c>
      <c r="D60" s="213">
        <v>47</v>
      </c>
      <c r="Q60" s="189" t="s">
        <v>1140</v>
      </c>
      <c r="AN60" t="s">
        <v>1184</v>
      </c>
    </row>
    <row r="61" spans="1:40" ht="15" x14ac:dyDescent="0.25">
      <c r="A61" s="200" t="s">
        <v>524</v>
      </c>
      <c r="C61" s="200">
        <v>48</v>
      </c>
      <c r="D61" s="213">
        <v>48</v>
      </c>
      <c r="Q61" s="189" t="s">
        <v>1141</v>
      </c>
      <c r="AN61" t="s">
        <v>1236</v>
      </c>
    </row>
    <row r="62" spans="1:40" ht="15" x14ac:dyDescent="0.25">
      <c r="A62" s="200" t="s">
        <v>525</v>
      </c>
      <c r="C62" s="200">
        <v>49</v>
      </c>
      <c r="D62" s="213">
        <v>49</v>
      </c>
      <c r="Q62" s="189" t="s">
        <v>1142</v>
      </c>
      <c r="AN62" t="s">
        <v>1237</v>
      </c>
    </row>
    <row r="63" spans="1:40" ht="15" x14ac:dyDescent="0.25">
      <c r="A63" s="200" t="s">
        <v>526</v>
      </c>
      <c r="C63" s="200">
        <v>50</v>
      </c>
      <c r="D63" s="213">
        <v>50</v>
      </c>
      <c r="Q63" s="189" t="s">
        <v>1143</v>
      </c>
      <c r="AN63" t="s">
        <v>1235</v>
      </c>
    </row>
    <row r="64" spans="1:40" ht="15" x14ac:dyDescent="0.25">
      <c r="A64" s="200" t="s">
        <v>527</v>
      </c>
      <c r="C64" s="200">
        <v>51</v>
      </c>
      <c r="D64" s="213">
        <v>51</v>
      </c>
      <c r="Q64" s="189" t="s">
        <v>1144</v>
      </c>
      <c r="AN64" t="s">
        <v>1239</v>
      </c>
    </row>
    <row r="65" spans="1:40" ht="15" x14ac:dyDescent="0.25">
      <c r="A65" s="200" t="s">
        <v>421</v>
      </c>
      <c r="Q65" s="189" t="s">
        <v>1145</v>
      </c>
      <c r="AN65" t="s">
        <v>1240</v>
      </c>
    </row>
    <row r="66" spans="1:40" ht="15" x14ac:dyDescent="0.25">
      <c r="B66" s="207"/>
      <c r="Q66" s="189" t="s">
        <v>1146</v>
      </c>
      <c r="AN66" t="s">
        <v>1238</v>
      </c>
    </row>
    <row r="67" spans="1:40" ht="15" x14ac:dyDescent="0.25">
      <c r="A67" s="207" t="s">
        <v>528</v>
      </c>
      <c r="C67" s="207">
        <v>2</v>
      </c>
      <c r="D67" s="208">
        <v>1</v>
      </c>
      <c r="Q67" s="189" t="s">
        <v>1147</v>
      </c>
      <c r="AN67" t="s">
        <v>1218</v>
      </c>
    </row>
    <row r="68" spans="1:40" ht="15" x14ac:dyDescent="0.25">
      <c r="A68" s="207" t="s">
        <v>421</v>
      </c>
      <c r="C68" s="200">
        <v>1</v>
      </c>
      <c r="D68" s="213">
        <v>1</v>
      </c>
      <c r="Q68" s="189" t="s">
        <v>1148</v>
      </c>
      <c r="AN68" t="s">
        <v>1219</v>
      </c>
    </row>
    <row r="69" spans="1:40" ht="15" x14ac:dyDescent="0.25">
      <c r="A69" s="200" t="s">
        <v>529</v>
      </c>
      <c r="C69" s="200">
        <v>2</v>
      </c>
      <c r="D69" s="213">
        <v>2</v>
      </c>
      <c r="AN69" t="s">
        <v>1217</v>
      </c>
    </row>
    <row r="70" spans="1:40" ht="15" x14ac:dyDescent="0.25">
      <c r="A70" s="200" t="s">
        <v>412</v>
      </c>
      <c r="C70" s="200">
        <v>3</v>
      </c>
      <c r="D70" s="213">
        <v>3</v>
      </c>
      <c r="AN70" t="s">
        <v>1221</v>
      </c>
    </row>
    <row r="71" spans="1:40" ht="15" x14ac:dyDescent="0.25">
      <c r="A71" s="200" t="s">
        <v>421</v>
      </c>
      <c r="B71" s="207"/>
      <c r="AN71" t="s">
        <v>1222</v>
      </c>
    </row>
    <row r="72" spans="1:40" ht="15" x14ac:dyDescent="0.25">
      <c r="AN72" t="s">
        <v>1220</v>
      </c>
    </row>
    <row r="73" spans="1:40" ht="15" x14ac:dyDescent="0.25">
      <c r="A73" s="207" t="s">
        <v>60</v>
      </c>
      <c r="C73" s="207">
        <v>1</v>
      </c>
      <c r="D73" s="208">
        <v>1</v>
      </c>
      <c r="AN73" t="s">
        <v>1230</v>
      </c>
    </row>
    <row r="74" spans="1:40" ht="15" x14ac:dyDescent="0.25">
      <c r="A74" s="207" t="s">
        <v>421</v>
      </c>
      <c r="C74" s="200">
        <v>1</v>
      </c>
      <c r="D74" s="213">
        <v>1</v>
      </c>
      <c r="AN74" t="s">
        <v>1231</v>
      </c>
    </row>
    <row r="75" spans="1:40" ht="15" x14ac:dyDescent="0.25">
      <c r="A75" s="200" t="s">
        <v>465</v>
      </c>
      <c r="C75" s="200">
        <v>2</v>
      </c>
      <c r="D75" s="213">
        <v>2</v>
      </c>
      <c r="AN75" t="s">
        <v>1229</v>
      </c>
    </row>
    <row r="76" spans="1:40" ht="15" x14ac:dyDescent="0.25">
      <c r="A76" s="200" t="s">
        <v>467</v>
      </c>
      <c r="C76" s="200">
        <v>3</v>
      </c>
      <c r="D76" s="213">
        <v>3</v>
      </c>
      <c r="AN76" t="s">
        <v>1233</v>
      </c>
    </row>
    <row r="77" spans="1:40" ht="15" x14ac:dyDescent="0.25">
      <c r="A77" s="200" t="s">
        <v>421</v>
      </c>
      <c r="AN77" t="s">
        <v>1234</v>
      </c>
    </row>
    <row r="78" spans="1:40" ht="15" x14ac:dyDescent="0.25">
      <c r="AN78" t="s">
        <v>1232</v>
      </c>
    </row>
    <row r="79" spans="1:40" ht="15" x14ac:dyDescent="0.25">
      <c r="A79" s="207" t="s">
        <v>530</v>
      </c>
      <c r="B79" s="207"/>
      <c r="AN79" t="s">
        <v>1212</v>
      </c>
    </row>
    <row r="80" spans="1:40" ht="15" x14ac:dyDescent="0.25">
      <c r="A80" s="207"/>
      <c r="C80" s="207"/>
      <c r="D80" s="208"/>
      <c r="AN80" t="s">
        <v>1213</v>
      </c>
    </row>
    <row r="81" spans="1:40" ht="15" x14ac:dyDescent="0.25">
      <c r="A81" s="207"/>
      <c r="C81" s="207"/>
      <c r="D81" s="208"/>
      <c r="AN81" t="s">
        <v>1211</v>
      </c>
    </row>
    <row r="82" spans="1:40" ht="15" x14ac:dyDescent="0.25">
      <c r="A82" s="207"/>
      <c r="C82" s="207"/>
      <c r="D82" s="208"/>
      <c r="AN82" t="s">
        <v>1215</v>
      </c>
    </row>
    <row r="83" spans="1:40" ht="15" x14ac:dyDescent="0.25">
      <c r="A83" s="207"/>
      <c r="C83" s="207"/>
      <c r="D83" s="208"/>
      <c r="AN83" t="s">
        <v>1216</v>
      </c>
    </row>
    <row r="84" spans="1:40" ht="15" x14ac:dyDescent="0.25">
      <c r="A84" s="207"/>
      <c r="AN84" t="s">
        <v>1214</v>
      </c>
    </row>
    <row r="85" spans="1:40" ht="15" x14ac:dyDescent="0.25">
      <c r="AN85" t="s">
        <v>1194</v>
      </c>
    </row>
    <row r="86" spans="1:40" ht="15" x14ac:dyDescent="0.25">
      <c r="AN86" t="s">
        <v>1195</v>
      </c>
    </row>
    <row r="87" spans="1:40" ht="15" x14ac:dyDescent="0.25">
      <c r="AN87" t="s">
        <v>1193</v>
      </c>
    </row>
    <row r="88" spans="1:40" ht="15" x14ac:dyDescent="0.25">
      <c r="AN88" t="s">
        <v>1197</v>
      </c>
    </row>
    <row r="89" spans="1:40" ht="15" x14ac:dyDescent="0.25">
      <c r="C89" s="207"/>
      <c r="D89" s="208"/>
      <c r="AN89" t="s">
        <v>1198</v>
      </c>
    </row>
    <row r="90" spans="1:40" ht="15" x14ac:dyDescent="0.25">
      <c r="A90" s="207" t="s">
        <v>531</v>
      </c>
      <c r="B90" s="207"/>
      <c r="C90" s="221"/>
      <c r="D90" s="222"/>
      <c r="AN90" t="s">
        <v>1196</v>
      </c>
    </row>
    <row r="91" spans="1:40" ht="15" x14ac:dyDescent="0.25">
      <c r="A91" s="207"/>
      <c r="B91" s="207"/>
      <c r="C91" s="223"/>
      <c r="D91" s="224"/>
      <c r="AN91" t="s">
        <v>1200</v>
      </c>
    </row>
    <row r="92" spans="1:40" ht="15" x14ac:dyDescent="0.25">
      <c r="B92" s="207"/>
      <c r="C92" s="223"/>
      <c r="D92" s="224"/>
      <c r="AN92" t="s">
        <v>1201</v>
      </c>
    </row>
    <row r="93" spans="1:40" ht="15" x14ac:dyDescent="0.25">
      <c r="B93" s="207"/>
      <c r="AN93" t="s">
        <v>1199</v>
      </c>
    </row>
    <row r="94" spans="1:40" ht="15" x14ac:dyDescent="0.25">
      <c r="E94" s="207"/>
      <c r="F94" s="207"/>
      <c r="AN94" t="s">
        <v>1203</v>
      </c>
    </row>
    <row r="95" spans="1:40" ht="15" x14ac:dyDescent="0.25">
      <c r="B95" s="220"/>
      <c r="AN95" t="s">
        <v>1204</v>
      </c>
    </row>
    <row r="96" spans="1:40" ht="15" x14ac:dyDescent="0.25">
      <c r="AN96" t="s">
        <v>1202</v>
      </c>
    </row>
    <row r="97" spans="1:40" ht="15" x14ac:dyDescent="0.25">
      <c r="B97" s="207"/>
      <c r="E97" s="220"/>
      <c r="AN97" t="s">
        <v>1206</v>
      </c>
    </row>
    <row r="98" spans="1:40" ht="15" x14ac:dyDescent="0.25">
      <c r="B98" s="207"/>
      <c r="AN98" t="s">
        <v>1207</v>
      </c>
    </row>
    <row r="99" spans="1:40" ht="15" x14ac:dyDescent="0.25">
      <c r="AN99" t="s">
        <v>1205</v>
      </c>
    </row>
    <row r="100" spans="1:40" ht="15" x14ac:dyDescent="0.25">
      <c r="B100" s="225"/>
      <c r="D100" s="226"/>
      <c r="AN100" t="s">
        <v>1209</v>
      </c>
    </row>
    <row r="101" spans="1:40" ht="15" x14ac:dyDescent="0.25">
      <c r="D101" s="226"/>
      <c r="AN101" t="s">
        <v>1210</v>
      </c>
    </row>
    <row r="102" spans="1:40" ht="15" x14ac:dyDescent="0.25">
      <c r="A102" s="207" t="s">
        <v>532</v>
      </c>
      <c r="B102" s="207"/>
      <c r="D102" s="226"/>
      <c r="AN102" t="s">
        <v>1208</v>
      </c>
    </row>
    <row r="103" spans="1:40" ht="15" x14ac:dyDescent="0.25">
      <c r="A103" s="207"/>
      <c r="B103" s="200" t="s">
        <v>194</v>
      </c>
      <c r="C103" s="227">
        <v>1</v>
      </c>
      <c r="D103" s="228">
        <v>2</v>
      </c>
      <c r="E103" s="220"/>
      <c r="AN103" t="s">
        <v>1260</v>
      </c>
    </row>
    <row r="104" spans="1:40" ht="15" x14ac:dyDescent="0.25">
      <c r="A104" s="207"/>
      <c r="B104" s="200" t="s">
        <v>197</v>
      </c>
      <c r="C104" s="227">
        <v>1</v>
      </c>
      <c r="D104" s="228">
        <v>1</v>
      </c>
      <c r="AN104" t="s">
        <v>1261</v>
      </c>
    </row>
    <row r="105" spans="1:40" ht="15" x14ac:dyDescent="0.25">
      <c r="A105" s="207"/>
      <c r="B105" s="200" t="s">
        <v>198</v>
      </c>
      <c r="C105" s="227">
        <v>1</v>
      </c>
      <c r="D105" s="228">
        <v>2</v>
      </c>
      <c r="AN105" t="s">
        <v>1259</v>
      </c>
    </row>
    <row r="106" spans="1:40" ht="15" x14ac:dyDescent="0.25">
      <c r="A106" s="207" t="s">
        <v>421</v>
      </c>
      <c r="B106" s="229"/>
      <c r="C106" s="230">
        <v>1</v>
      </c>
      <c r="D106" s="231">
        <v>1</v>
      </c>
      <c r="AN106" t="s">
        <v>1263</v>
      </c>
    </row>
    <row r="107" spans="1:40" ht="15" x14ac:dyDescent="0.25">
      <c r="A107" s="232" t="s">
        <v>410</v>
      </c>
      <c r="B107" s="229"/>
      <c r="C107" s="230">
        <v>2</v>
      </c>
      <c r="D107" s="231">
        <v>2</v>
      </c>
      <c r="AN107" t="s">
        <v>1264</v>
      </c>
    </row>
    <row r="108" spans="1:40" ht="15" x14ac:dyDescent="0.25">
      <c r="A108" s="232" t="s">
        <v>423</v>
      </c>
      <c r="B108" s="229"/>
      <c r="C108" s="230">
        <v>3</v>
      </c>
      <c r="D108" s="231">
        <v>3</v>
      </c>
      <c r="AN108" t="s">
        <v>1262</v>
      </c>
    </row>
    <row r="109" spans="1:40" ht="15" x14ac:dyDescent="0.25">
      <c r="A109" s="232" t="s">
        <v>431</v>
      </c>
      <c r="B109" s="229"/>
      <c r="C109" s="230">
        <v>4</v>
      </c>
      <c r="D109" s="231">
        <v>4</v>
      </c>
      <c r="AN109" t="s">
        <v>1242</v>
      </c>
    </row>
    <row r="110" spans="1:40" ht="15" x14ac:dyDescent="0.25">
      <c r="A110" s="232" t="s">
        <v>438</v>
      </c>
      <c r="B110" s="229"/>
      <c r="C110" s="230">
        <v>5</v>
      </c>
      <c r="D110" s="231">
        <v>5</v>
      </c>
      <c r="AN110" t="s">
        <v>1243</v>
      </c>
    </row>
    <row r="111" spans="1:40" ht="15" x14ac:dyDescent="0.25">
      <c r="A111" s="232" t="s">
        <v>500</v>
      </c>
      <c r="C111" s="230">
        <v>6</v>
      </c>
      <c r="D111" s="231">
        <v>6</v>
      </c>
      <c r="AN111" t="s">
        <v>1241</v>
      </c>
    </row>
    <row r="112" spans="1:40" ht="15" x14ac:dyDescent="0.25">
      <c r="A112" s="200" t="s">
        <v>421</v>
      </c>
      <c r="C112" s="230"/>
      <c r="D112" s="231"/>
      <c r="AN112" t="s">
        <v>1245</v>
      </c>
    </row>
    <row r="113" spans="1:40" ht="15" x14ac:dyDescent="0.25">
      <c r="AN113" t="s">
        <v>1246</v>
      </c>
    </row>
    <row r="114" spans="1:40" ht="15" x14ac:dyDescent="0.25">
      <c r="A114" s="207" t="s">
        <v>533</v>
      </c>
      <c r="B114" s="207"/>
      <c r="D114" s="213">
        <v>4</v>
      </c>
      <c r="AN114" t="s">
        <v>1244</v>
      </c>
    </row>
    <row r="115" spans="1:40" ht="15" x14ac:dyDescent="0.25">
      <c r="A115" s="207"/>
      <c r="B115" s="207" t="s">
        <v>534</v>
      </c>
      <c r="C115" s="207">
        <v>1</v>
      </c>
      <c r="D115" s="208">
        <v>2</v>
      </c>
      <c r="AN115" t="s">
        <v>1248</v>
      </c>
    </row>
    <row r="116" spans="1:40" ht="15" x14ac:dyDescent="0.25">
      <c r="A116" s="207"/>
      <c r="B116" s="207" t="s">
        <v>535</v>
      </c>
      <c r="C116" s="207">
        <v>1</v>
      </c>
      <c r="D116" s="208">
        <v>4</v>
      </c>
      <c r="AN116" t="s">
        <v>1249</v>
      </c>
    </row>
    <row r="117" spans="1:40" ht="15" x14ac:dyDescent="0.25">
      <c r="A117" s="207"/>
      <c r="B117" s="207" t="s">
        <v>536</v>
      </c>
      <c r="C117" s="207">
        <v>1</v>
      </c>
      <c r="D117" s="208">
        <v>3</v>
      </c>
      <c r="AN117" t="s">
        <v>1247</v>
      </c>
    </row>
    <row r="118" spans="1:40" ht="15" x14ac:dyDescent="0.25">
      <c r="A118" s="207"/>
      <c r="B118" s="207" t="s">
        <v>537</v>
      </c>
      <c r="C118" s="207">
        <v>1</v>
      </c>
      <c r="D118" s="208">
        <v>4</v>
      </c>
      <c r="AN118" t="s">
        <v>1251</v>
      </c>
    </row>
    <row r="119" spans="1:40" ht="15" x14ac:dyDescent="0.25">
      <c r="A119" s="207" t="s">
        <v>421</v>
      </c>
      <c r="C119" s="200">
        <v>1</v>
      </c>
      <c r="D119" s="213">
        <v>1</v>
      </c>
      <c r="AN119" t="s">
        <v>1252</v>
      </c>
    </row>
    <row r="120" spans="1:40" ht="15" x14ac:dyDescent="0.25">
      <c r="A120" s="200" t="s">
        <v>538</v>
      </c>
      <c r="C120" s="200">
        <v>2</v>
      </c>
      <c r="D120" s="213">
        <v>2</v>
      </c>
      <c r="AN120" t="s">
        <v>1250</v>
      </c>
    </row>
    <row r="121" spans="1:40" ht="15" x14ac:dyDescent="0.25">
      <c r="A121" s="200" t="s">
        <v>539</v>
      </c>
      <c r="C121" s="200">
        <v>3</v>
      </c>
      <c r="D121" s="213">
        <v>3</v>
      </c>
      <c r="AN121" t="s">
        <v>1254</v>
      </c>
    </row>
    <row r="122" spans="1:40" ht="15" x14ac:dyDescent="0.25">
      <c r="A122" s="200" t="s">
        <v>540</v>
      </c>
      <c r="C122" s="200">
        <v>4</v>
      </c>
      <c r="D122" s="213">
        <v>4</v>
      </c>
      <c r="AN122" t="s">
        <v>1255</v>
      </c>
    </row>
    <row r="123" spans="1:40" ht="15" x14ac:dyDescent="0.25">
      <c r="AN123" t="s">
        <v>1253</v>
      </c>
    </row>
    <row r="124" spans="1:40" ht="15" x14ac:dyDescent="0.25">
      <c r="A124" s="207" t="s">
        <v>541</v>
      </c>
      <c r="AN124" t="s">
        <v>1257</v>
      </c>
    </row>
    <row r="125" spans="1:40" ht="15" x14ac:dyDescent="0.25">
      <c r="B125" s="200" t="s">
        <v>542</v>
      </c>
      <c r="C125" s="200">
        <v>1</v>
      </c>
      <c r="D125" s="213">
        <v>1</v>
      </c>
      <c r="AN125" t="s">
        <v>1258</v>
      </c>
    </row>
    <row r="126" spans="1:40" ht="15" x14ac:dyDescent="0.25">
      <c r="B126" s="200" t="s">
        <v>543</v>
      </c>
      <c r="C126" s="200">
        <v>1</v>
      </c>
      <c r="D126" s="213">
        <v>1</v>
      </c>
      <c r="AN126" t="s">
        <v>1256</v>
      </c>
    </row>
    <row r="127" spans="1:40" ht="15" x14ac:dyDescent="0.25">
      <c r="B127" s="200" t="s">
        <v>544</v>
      </c>
      <c r="C127" s="200">
        <v>1</v>
      </c>
      <c r="D127" s="213">
        <v>1</v>
      </c>
      <c r="AN127" t="s">
        <v>1284</v>
      </c>
    </row>
    <row r="128" spans="1:40" ht="15" x14ac:dyDescent="0.25">
      <c r="A128" s="200" t="s">
        <v>421</v>
      </c>
      <c r="C128" s="200">
        <v>1</v>
      </c>
      <c r="D128" s="213">
        <v>1</v>
      </c>
      <c r="AN128" t="s">
        <v>1285</v>
      </c>
    </row>
    <row r="129" spans="1:40" ht="15" x14ac:dyDescent="0.25">
      <c r="A129" s="200" t="s">
        <v>465</v>
      </c>
      <c r="C129" s="200">
        <v>2</v>
      </c>
      <c r="D129" s="213">
        <v>2</v>
      </c>
      <c r="AN129" t="s">
        <v>1283</v>
      </c>
    </row>
    <row r="130" spans="1:40" ht="15" x14ac:dyDescent="0.25">
      <c r="A130" s="200" t="s">
        <v>467</v>
      </c>
      <c r="C130" s="200">
        <v>3</v>
      </c>
      <c r="D130" s="213">
        <v>3</v>
      </c>
      <c r="AN130" t="s">
        <v>1287</v>
      </c>
    </row>
    <row r="131" spans="1:40" ht="15" x14ac:dyDescent="0.25">
      <c r="AN131" t="s">
        <v>1288</v>
      </c>
    </row>
    <row r="132" spans="1:40" ht="15" x14ac:dyDescent="0.25">
      <c r="A132" s="207" t="s">
        <v>545</v>
      </c>
      <c r="B132" s="207"/>
      <c r="AN132" t="s">
        <v>1286</v>
      </c>
    </row>
    <row r="133" spans="1:40" ht="15" x14ac:dyDescent="0.25">
      <c r="A133" s="207"/>
      <c r="B133" s="207" t="s">
        <v>534</v>
      </c>
      <c r="C133" s="207">
        <v>1</v>
      </c>
      <c r="D133" s="208">
        <v>2</v>
      </c>
      <c r="AN133" t="s">
        <v>1266</v>
      </c>
    </row>
    <row r="134" spans="1:40" ht="15" x14ac:dyDescent="0.25">
      <c r="A134" s="207"/>
      <c r="B134" s="207" t="s">
        <v>535</v>
      </c>
      <c r="C134" s="207">
        <v>1</v>
      </c>
      <c r="D134" s="208">
        <v>2</v>
      </c>
      <c r="AN134" t="s">
        <v>1267</v>
      </c>
    </row>
    <row r="135" spans="1:40" ht="15" x14ac:dyDescent="0.25">
      <c r="A135" s="207"/>
      <c r="B135" s="207" t="s">
        <v>536</v>
      </c>
      <c r="C135" s="207">
        <v>1</v>
      </c>
      <c r="D135" s="208">
        <v>2</v>
      </c>
      <c r="AN135" t="s">
        <v>1265</v>
      </c>
    </row>
    <row r="136" spans="1:40" ht="15" x14ac:dyDescent="0.25">
      <c r="A136" s="207"/>
      <c r="B136" s="207" t="s">
        <v>537</v>
      </c>
      <c r="C136" s="207">
        <v>1</v>
      </c>
      <c r="D136" s="208">
        <v>2</v>
      </c>
      <c r="AN136" t="s">
        <v>1269</v>
      </c>
    </row>
    <row r="137" spans="1:40" ht="15" x14ac:dyDescent="0.25">
      <c r="A137" s="207" t="s">
        <v>421</v>
      </c>
      <c r="C137" s="200">
        <v>1</v>
      </c>
      <c r="D137" s="213">
        <v>1</v>
      </c>
      <c r="AN137" t="s">
        <v>1270</v>
      </c>
    </row>
    <row r="138" spans="1:40" ht="15" x14ac:dyDescent="0.25">
      <c r="A138" s="200" t="s">
        <v>546</v>
      </c>
      <c r="C138" s="200">
        <v>2</v>
      </c>
      <c r="D138" s="213">
        <v>2</v>
      </c>
      <c r="AN138" t="s">
        <v>1268</v>
      </c>
    </row>
    <row r="139" spans="1:40" ht="15" x14ac:dyDescent="0.25">
      <c r="A139" s="200" t="s">
        <v>547</v>
      </c>
      <c r="C139" s="200">
        <v>3</v>
      </c>
      <c r="D139" s="213">
        <v>3</v>
      </c>
      <c r="AN139" t="s">
        <v>1272</v>
      </c>
    </row>
    <row r="140" spans="1:40" ht="15" x14ac:dyDescent="0.25">
      <c r="A140" s="200" t="s">
        <v>421</v>
      </c>
      <c r="B140" s="207"/>
      <c r="AN140" t="s">
        <v>1273</v>
      </c>
    </row>
    <row r="141" spans="1:40" ht="15" x14ac:dyDescent="0.25">
      <c r="A141" s="207"/>
      <c r="B141" s="207"/>
      <c r="AN141" t="s">
        <v>1271</v>
      </c>
    </row>
    <row r="142" spans="1:40" ht="15" x14ac:dyDescent="0.25">
      <c r="A142" s="207" t="s">
        <v>548</v>
      </c>
      <c r="B142" s="207"/>
      <c r="AN142" t="s">
        <v>1275</v>
      </c>
    </row>
    <row r="143" spans="1:40" ht="15" x14ac:dyDescent="0.25">
      <c r="A143" s="207"/>
      <c r="B143" s="207" t="s">
        <v>534</v>
      </c>
      <c r="C143" s="207">
        <v>1</v>
      </c>
      <c r="D143" s="208">
        <v>3</v>
      </c>
      <c r="AN143" t="s">
        <v>1276</v>
      </c>
    </row>
    <row r="144" spans="1:40" ht="15" x14ac:dyDescent="0.25">
      <c r="A144" s="207"/>
      <c r="B144" s="207" t="s">
        <v>535</v>
      </c>
      <c r="C144" s="207">
        <v>1</v>
      </c>
      <c r="D144" s="208">
        <v>3</v>
      </c>
      <c r="AN144" t="s">
        <v>1274</v>
      </c>
    </row>
    <row r="145" spans="1:40" ht="15" x14ac:dyDescent="0.25">
      <c r="A145" s="207"/>
      <c r="B145" s="207" t="s">
        <v>536</v>
      </c>
      <c r="C145" s="207">
        <v>1</v>
      </c>
      <c r="D145" s="208">
        <v>3</v>
      </c>
      <c r="AN145" t="s">
        <v>1278</v>
      </c>
    </row>
    <row r="146" spans="1:40" ht="15" x14ac:dyDescent="0.25">
      <c r="A146" s="207"/>
      <c r="B146" s="207" t="s">
        <v>537</v>
      </c>
      <c r="C146" s="207">
        <v>1</v>
      </c>
      <c r="D146" s="208">
        <v>3</v>
      </c>
      <c r="AN146" t="s">
        <v>1279</v>
      </c>
    </row>
    <row r="147" spans="1:40" ht="15" x14ac:dyDescent="0.25">
      <c r="A147" s="207" t="s">
        <v>421</v>
      </c>
      <c r="C147" s="200">
        <v>1</v>
      </c>
      <c r="D147" s="213">
        <v>1</v>
      </c>
      <c r="AN147" t="s">
        <v>1277</v>
      </c>
    </row>
    <row r="148" spans="1:40" ht="15" x14ac:dyDescent="0.25">
      <c r="A148" s="200" t="s">
        <v>465</v>
      </c>
      <c r="C148" s="200">
        <v>2</v>
      </c>
      <c r="D148" s="213">
        <v>2</v>
      </c>
      <c r="AN148" t="s">
        <v>1281</v>
      </c>
    </row>
    <row r="149" spans="1:40" ht="15" x14ac:dyDescent="0.25">
      <c r="A149" s="200" t="s">
        <v>467</v>
      </c>
      <c r="C149" s="200">
        <v>3</v>
      </c>
      <c r="D149" s="213">
        <v>3</v>
      </c>
      <c r="AN149" t="s">
        <v>1282</v>
      </c>
    </row>
    <row r="150" spans="1:40" ht="15" x14ac:dyDescent="0.25">
      <c r="A150" s="200" t="s">
        <v>421</v>
      </c>
      <c r="AN150" t="s">
        <v>1280</v>
      </c>
    </row>
    <row r="151" spans="1:40" ht="15" x14ac:dyDescent="0.25">
      <c r="AN151" t="s">
        <v>1321</v>
      </c>
    </row>
    <row r="152" spans="1:40" ht="15" x14ac:dyDescent="0.25">
      <c r="A152" s="207" t="s">
        <v>549</v>
      </c>
      <c r="AN152" t="s">
        <v>1325</v>
      </c>
    </row>
    <row r="153" spans="1:40" ht="15" x14ac:dyDescent="0.25">
      <c r="B153" s="207" t="s">
        <v>534</v>
      </c>
      <c r="C153" s="207">
        <v>1</v>
      </c>
      <c r="D153" s="208">
        <v>2</v>
      </c>
      <c r="AN153" t="s">
        <v>1322</v>
      </c>
    </row>
    <row r="154" spans="1:40" ht="15" x14ac:dyDescent="0.25">
      <c r="B154" s="207" t="s">
        <v>535</v>
      </c>
      <c r="C154" s="207">
        <v>1</v>
      </c>
      <c r="D154" s="208">
        <v>2</v>
      </c>
      <c r="AN154" t="s">
        <v>1320</v>
      </c>
    </row>
    <row r="155" spans="1:40" ht="15" x14ac:dyDescent="0.25">
      <c r="B155" s="207" t="s">
        <v>536</v>
      </c>
      <c r="C155" s="207">
        <v>1</v>
      </c>
      <c r="D155" s="208">
        <v>2</v>
      </c>
      <c r="AN155" t="s">
        <v>1323</v>
      </c>
    </row>
    <row r="156" spans="1:40" ht="15" x14ac:dyDescent="0.25">
      <c r="B156" s="207" t="s">
        <v>537</v>
      </c>
      <c r="C156" s="207">
        <v>1</v>
      </c>
      <c r="D156" s="208">
        <v>2</v>
      </c>
      <c r="AN156" t="s">
        <v>1324</v>
      </c>
    </row>
    <row r="157" spans="1:40" ht="15" x14ac:dyDescent="0.25">
      <c r="A157" s="200" t="s">
        <v>421</v>
      </c>
      <c r="C157" s="200">
        <v>1</v>
      </c>
      <c r="D157" s="213">
        <v>1</v>
      </c>
      <c r="AN157" s="405" t="s">
        <v>1180</v>
      </c>
    </row>
    <row r="158" spans="1:40" ht="15" x14ac:dyDescent="0.25">
      <c r="A158" s="200" t="s">
        <v>465</v>
      </c>
      <c r="C158" s="200">
        <v>2</v>
      </c>
      <c r="D158" s="213">
        <v>2</v>
      </c>
      <c r="AN158" t="s">
        <v>1326</v>
      </c>
    </row>
    <row r="159" spans="1:40" ht="15" x14ac:dyDescent="0.25">
      <c r="A159" s="200" t="s">
        <v>467</v>
      </c>
      <c r="C159" s="200">
        <v>3</v>
      </c>
      <c r="D159" s="213">
        <v>3</v>
      </c>
      <c r="AN159" t="s">
        <v>1327</v>
      </c>
    </row>
    <row r="160" spans="1:40" x14ac:dyDescent="0.2">
      <c r="A160" s="200" t="s">
        <v>421</v>
      </c>
    </row>
    <row r="162" spans="1:4" ht="15" x14ac:dyDescent="0.25">
      <c r="A162" s="207" t="s">
        <v>550</v>
      </c>
    </row>
    <row r="163" spans="1:4" ht="15" x14ac:dyDescent="0.25">
      <c r="B163" s="200" t="s">
        <v>551</v>
      </c>
      <c r="C163" s="207">
        <v>1</v>
      </c>
      <c r="D163" s="208">
        <v>1</v>
      </c>
    </row>
    <row r="164" spans="1:4" ht="15" x14ac:dyDescent="0.25">
      <c r="B164" s="200" t="s">
        <v>552</v>
      </c>
      <c r="C164" s="207">
        <v>1</v>
      </c>
      <c r="D164" s="208">
        <v>1</v>
      </c>
    </row>
    <row r="165" spans="1:4" x14ac:dyDescent="0.2">
      <c r="A165" s="200" t="s">
        <v>421</v>
      </c>
      <c r="C165" s="233">
        <v>1</v>
      </c>
      <c r="D165" s="233">
        <v>1</v>
      </c>
    </row>
    <row r="166" spans="1:4" x14ac:dyDescent="0.2">
      <c r="A166" s="200" t="s">
        <v>465</v>
      </c>
      <c r="C166" s="234">
        <v>2</v>
      </c>
      <c r="D166" s="234">
        <v>2</v>
      </c>
    </row>
    <row r="167" spans="1:4" x14ac:dyDescent="0.2">
      <c r="A167" s="200" t="s">
        <v>467</v>
      </c>
      <c r="C167" s="234">
        <v>3</v>
      </c>
      <c r="D167" s="234">
        <v>3</v>
      </c>
    </row>
    <row r="168" spans="1:4" x14ac:dyDescent="0.2">
      <c r="A168" s="200" t="s">
        <v>421</v>
      </c>
      <c r="C168" s="235"/>
      <c r="D168" s="236"/>
    </row>
    <row r="169" spans="1:4" x14ac:dyDescent="0.2">
      <c r="C169" s="235"/>
      <c r="D169" s="236"/>
    </row>
    <row r="170" spans="1:4" ht="15" x14ac:dyDescent="0.25">
      <c r="A170" s="207" t="s">
        <v>553</v>
      </c>
      <c r="B170" s="207"/>
      <c r="C170" s="237"/>
      <c r="D170" s="238"/>
    </row>
    <row r="171" spans="1:4" ht="15" x14ac:dyDescent="0.25">
      <c r="A171" s="207"/>
      <c r="B171" s="200" t="s">
        <v>554</v>
      </c>
      <c r="C171" s="227">
        <v>1</v>
      </c>
      <c r="D171" s="239">
        <v>1</v>
      </c>
    </row>
    <row r="172" spans="1:4" ht="15" x14ac:dyDescent="0.25">
      <c r="A172" s="207" t="s">
        <v>421</v>
      </c>
      <c r="C172" s="228">
        <v>1</v>
      </c>
      <c r="D172" s="228">
        <v>1</v>
      </c>
    </row>
    <row r="173" spans="1:4" x14ac:dyDescent="0.2">
      <c r="A173" s="237">
        <v>0</v>
      </c>
      <c r="B173" s="235"/>
      <c r="C173" s="228">
        <v>2</v>
      </c>
      <c r="D173" s="228">
        <v>2</v>
      </c>
    </row>
    <row r="174" spans="1:4" x14ac:dyDescent="0.2">
      <c r="A174" s="235" t="s">
        <v>555</v>
      </c>
      <c r="B174" s="237"/>
      <c r="C174" s="228">
        <v>3</v>
      </c>
      <c r="D174" s="228">
        <v>3</v>
      </c>
    </row>
    <row r="175" spans="1:4" x14ac:dyDescent="0.2">
      <c r="A175" s="237">
        <v>0.1</v>
      </c>
      <c r="B175" s="237"/>
      <c r="C175" s="228">
        <v>4</v>
      </c>
      <c r="D175" s="228">
        <v>4</v>
      </c>
    </row>
    <row r="176" spans="1:4" x14ac:dyDescent="0.2">
      <c r="A176" s="237">
        <v>0.2</v>
      </c>
      <c r="B176" s="237"/>
      <c r="C176" s="228">
        <v>5</v>
      </c>
      <c r="D176" s="228">
        <v>5</v>
      </c>
    </row>
    <row r="177" spans="1:4" x14ac:dyDescent="0.2">
      <c r="A177" s="237">
        <v>0.3</v>
      </c>
      <c r="B177" s="237"/>
      <c r="C177" s="228">
        <v>6</v>
      </c>
      <c r="D177" s="228">
        <v>6</v>
      </c>
    </row>
    <row r="178" spans="1:4" x14ac:dyDescent="0.2">
      <c r="A178" s="237">
        <v>0.4</v>
      </c>
      <c r="B178" s="237"/>
      <c r="C178" s="228">
        <v>7</v>
      </c>
      <c r="D178" s="228">
        <v>7</v>
      </c>
    </row>
    <row r="179" spans="1:4" x14ac:dyDescent="0.2">
      <c r="A179" s="237">
        <v>0.5</v>
      </c>
      <c r="B179" s="237"/>
      <c r="C179" s="228">
        <v>8</v>
      </c>
      <c r="D179" s="228">
        <v>8</v>
      </c>
    </row>
    <row r="180" spans="1:4" x14ac:dyDescent="0.2">
      <c r="A180" s="237">
        <v>0.6</v>
      </c>
      <c r="B180" s="237"/>
      <c r="C180" s="228">
        <v>9</v>
      </c>
      <c r="D180" s="228">
        <v>9</v>
      </c>
    </row>
    <row r="181" spans="1:4" x14ac:dyDescent="0.2">
      <c r="A181" s="237">
        <v>0.7</v>
      </c>
      <c r="B181" s="237"/>
      <c r="C181" s="228">
        <v>10</v>
      </c>
      <c r="D181" s="228">
        <v>10</v>
      </c>
    </row>
    <row r="182" spans="1:4" x14ac:dyDescent="0.2">
      <c r="A182" s="237">
        <v>0.8</v>
      </c>
      <c r="B182" s="237"/>
      <c r="C182" s="228">
        <v>11</v>
      </c>
      <c r="D182" s="228">
        <v>11</v>
      </c>
    </row>
    <row r="183" spans="1:4" x14ac:dyDescent="0.2">
      <c r="A183" s="237">
        <v>0.9</v>
      </c>
      <c r="B183" s="237"/>
      <c r="C183" s="228">
        <v>12</v>
      </c>
      <c r="D183" s="228">
        <v>12</v>
      </c>
    </row>
    <row r="184" spans="1:4" x14ac:dyDescent="0.2">
      <c r="A184" s="237">
        <v>1</v>
      </c>
      <c r="B184" s="237"/>
      <c r="C184" s="228">
        <v>13</v>
      </c>
      <c r="D184" s="228">
        <v>13</v>
      </c>
    </row>
    <row r="185" spans="1:4" x14ac:dyDescent="0.2">
      <c r="A185" s="237" t="s">
        <v>421</v>
      </c>
      <c r="B185" s="237"/>
      <c r="C185" s="233"/>
      <c r="D185" s="228"/>
    </row>
    <row r="186" spans="1:4" x14ac:dyDescent="0.2">
      <c r="A186" s="237"/>
      <c r="B186" s="237"/>
    </row>
    <row r="187" spans="1:4" ht="15" x14ac:dyDescent="0.25">
      <c r="A187" s="207" t="s">
        <v>556</v>
      </c>
      <c r="B187" s="207"/>
      <c r="C187" s="207">
        <v>1</v>
      </c>
      <c r="D187" s="208">
        <v>2</v>
      </c>
    </row>
    <row r="188" spans="1:4" ht="15" x14ac:dyDescent="0.25">
      <c r="A188" s="207" t="s">
        <v>421</v>
      </c>
      <c r="C188" s="200">
        <v>1</v>
      </c>
      <c r="D188" s="213">
        <v>1</v>
      </c>
    </row>
    <row r="189" spans="1:4" x14ac:dyDescent="0.2">
      <c r="A189" s="200" t="s">
        <v>162</v>
      </c>
      <c r="C189" s="200">
        <v>2</v>
      </c>
      <c r="D189" s="213">
        <v>2</v>
      </c>
    </row>
    <row r="190" spans="1:4" x14ac:dyDescent="0.2">
      <c r="A190" s="200" t="s">
        <v>413</v>
      </c>
      <c r="C190" s="200">
        <v>3</v>
      </c>
      <c r="D190" s="213">
        <v>3</v>
      </c>
    </row>
    <row r="191" spans="1:4" x14ac:dyDescent="0.2">
      <c r="A191" s="200" t="s">
        <v>425</v>
      </c>
      <c r="C191" s="200">
        <v>4</v>
      </c>
      <c r="D191" s="213">
        <v>4</v>
      </c>
    </row>
    <row r="192" spans="1:4" x14ac:dyDescent="0.2">
      <c r="A192" s="200" t="s">
        <v>421</v>
      </c>
      <c r="C192" s="237"/>
      <c r="D192" s="238"/>
    </row>
    <row r="193" spans="1:9" x14ac:dyDescent="0.2">
      <c r="C193" s="237"/>
      <c r="D193" s="238"/>
    </row>
    <row r="194" spans="1:9" ht="15" x14ac:dyDescent="0.25">
      <c r="A194" s="207" t="s">
        <v>557</v>
      </c>
      <c r="B194" s="207"/>
      <c r="C194" s="237"/>
      <c r="D194" s="238"/>
    </row>
    <row r="195" spans="1:9" ht="15" x14ac:dyDescent="0.25">
      <c r="B195" s="200" t="s">
        <v>553</v>
      </c>
      <c r="C195" s="227">
        <v>1</v>
      </c>
      <c r="D195" s="239">
        <v>1</v>
      </c>
    </row>
    <row r="196" spans="1:9" ht="15" x14ac:dyDescent="0.25">
      <c r="B196" s="200" t="s">
        <v>558</v>
      </c>
      <c r="C196" s="227">
        <v>1</v>
      </c>
      <c r="D196" s="239">
        <v>1</v>
      </c>
    </row>
    <row r="197" spans="1:9" ht="15" x14ac:dyDescent="0.25">
      <c r="B197" s="200" t="s">
        <v>559</v>
      </c>
      <c r="C197" s="227">
        <v>1</v>
      </c>
      <c r="D197" s="239">
        <v>1</v>
      </c>
    </row>
    <row r="198" spans="1:9" ht="15" x14ac:dyDescent="0.25">
      <c r="B198" s="200" t="s">
        <v>560</v>
      </c>
      <c r="C198" s="227">
        <v>1</v>
      </c>
      <c r="D198" s="239">
        <v>1</v>
      </c>
    </row>
    <row r="199" spans="1:9" ht="15" x14ac:dyDescent="0.25">
      <c r="B199" s="200" t="s">
        <v>561</v>
      </c>
      <c r="C199" s="227">
        <v>1</v>
      </c>
      <c r="D199" s="239">
        <v>1</v>
      </c>
    </row>
    <row r="200" spans="1:9" ht="15" x14ac:dyDescent="0.25">
      <c r="B200" s="200" t="s">
        <v>562</v>
      </c>
      <c r="C200" s="227">
        <v>1</v>
      </c>
      <c r="D200" s="239">
        <v>1</v>
      </c>
    </row>
    <row r="201" spans="1:9" ht="15" x14ac:dyDescent="0.25">
      <c r="B201" s="200" t="s">
        <v>174</v>
      </c>
      <c r="C201" s="227">
        <v>1</v>
      </c>
      <c r="D201" s="239">
        <v>1</v>
      </c>
    </row>
    <row r="202" spans="1:9" ht="15" x14ac:dyDescent="0.25">
      <c r="B202" s="200" t="s">
        <v>175</v>
      </c>
      <c r="C202" s="227">
        <v>1</v>
      </c>
      <c r="D202" s="239">
        <v>1</v>
      </c>
      <c r="F202" s="207" t="s">
        <v>363</v>
      </c>
    </row>
    <row r="203" spans="1:9" ht="15" x14ac:dyDescent="0.25">
      <c r="A203" s="200" t="s">
        <v>421</v>
      </c>
      <c r="C203" s="233">
        <v>1</v>
      </c>
      <c r="D203" s="240">
        <v>1</v>
      </c>
      <c r="F203" s="207"/>
      <c r="G203" s="200" t="s">
        <v>563</v>
      </c>
      <c r="H203" s="200">
        <v>1</v>
      </c>
      <c r="I203" s="207">
        <v>1</v>
      </c>
    </row>
    <row r="204" spans="1:9" ht="15" x14ac:dyDescent="0.25">
      <c r="A204" s="237">
        <v>0</v>
      </c>
      <c r="B204" s="237"/>
      <c r="C204" s="233">
        <v>2</v>
      </c>
      <c r="D204" s="240">
        <v>2</v>
      </c>
      <c r="F204" s="207"/>
      <c r="G204" s="200" t="s">
        <v>564</v>
      </c>
      <c r="H204" s="200">
        <v>1</v>
      </c>
      <c r="I204" s="200">
        <v>1</v>
      </c>
    </row>
    <row r="205" spans="1:9" ht="15" x14ac:dyDescent="0.25">
      <c r="A205" s="237">
        <v>0.1</v>
      </c>
      <c r="B205" s="237"/>
      <c r="C205" s="233">
        <v>3</v>
      </c>
      <c r="D205" s="240">
        <v>3</v>
      </c>
      <c r="F205" s="207"/>
      <c r="G205" s="200" t="s">
        <v>565</v>
      </c>
      <c r="H205" s="200">
        <v>1</v>
      </c>
      <c r="I205" s="200">
        <v>1</v>
      </c>
    </row>
    <row r="206" spans="1:9" ht="15" x14ac:dyDescent="0.25">
      <c r="A206" s="237">
        <v>0.2</v>
      </c>
      <c r="B206" s="237"/>
      <c r="C206" s="233">
        <v>4</v>
      </c>
      <c r="D206" s="240">
        <v>4</v>
      </c>
      <c r="F206" s="207" t="s">
        <v>421</v>
      </c>
      <c r="G206" s="237"/>
      <c r="H206" s="200">
        <v>1</v>
      </c>
      <c r="I206" s="200">
        <v>1</v>
      </c>
    </row>
    <row r="207" spans="1:9" x14ac:dyDescent="0.2">
      <c r="A207" s="237">
        <v>0.3</v>
      </c>
      <c r="B207" s="237"/>
      <c r="C207" s="233">
        <v>5</v>
      </c>
      <c r="D207" s="240">
        <v>5</v>
      </c>
      <c r="F207" s="237">
        <v>0</v>
      </c>
      <c r="H207" s="200">
        <v>2</v>
      </c>
      <c r="I207" s="200">
        <v>2</v>
      </c>
    </row>
    <row r="208" spans="1:9" x14ac:dyDescent="0.2">
      <c r="A208" s="237">
        <v>0.4</v>
      </c>
      <c r="B208" s="237"/>
      <c r="C208" s="233">
        <v>6</v>
      </c>
      <c r="D208" s="240">
        <v>6</v>
      </c>
      <c r="F208" s="237">
        <v>0.1</v>
      </c>
      <c r="H208" s="200">
        <v>3</v>
      </c>
      <c r="I208" s="200">
        <v>3</v>
      </c>
    </row>
    <row r="209" spans="1:9" x14ac:dyDescent="0.2">
      <c r="A209" s="237">
        <v>0.5</v>
      </c>
      <c r="B209" s="237"/>
      <c r="C209" s="233">
        <v>7</v>
      </c>
      <c r="D209" s="240">
        <v>7</v>
      </c>
      <c r="F209" s="237">
        <v>0.2</v>
      </c>
      <c r="H209" s="200">
        <v>4</v>
      </c>
      <c r="I209" s="200">
        <v>4</v>
      </c>
    </row>
    <row r="210" spans="1:9" x14ac:dyDescent="0.2">
      <c r="A210" s="237">
        <v>0.6</v>
      </c>
      <c r="B210" s="237"/>
      <c r="C210" s="233">
        <v>8</v>
      </c>
      <c r="D210" s="240">
        <v>8</v>
      </c>
      <c r="F210" s="237">
        <v>0.3</v>
      </c>
      <c r="H210" s="200">
        <v>5</v>
      </c>
      <c r="I210" s="200">
        <v>5</v>
      </c>
    </row>
    <row r="211" spans="1:9" x14ac:dyDescent="0.2">
      <c r="A211" s="237">
        <v>0.7</v>
      </c>
      <c r="B211" s="237"/>
      <c r="C211" s="233">
        <v>9</v>
      </c>
      <c r="D211" s="240">
        <v>9</v>
      </c>
      <c r="F211" s="237">
        <v>0.4</v>
      </c>
      <c r="H211" s="200">
        <v>6</v>
      </c>
      <c r="I211" s="200">
        <v>6</v>
      </c>
    </row>
    <row r="212" spans="1:9" x14ac:dyDescent="0.2">
      <c r="A212" s="237">
        <v>0.8</v>
      </c>
      <c r="B212" s="237"/>
      <c r="C212" s="233">
        <v>10</v>
      </c>
      <c r="D212" s="240">
        <v>10</v>
      </c>
      <c r="F212" s="237">
        <v>0.5</v>
      </c>
      <c r="H212" s="200">
        <v>7</v>
      </c>
      <c r="I212" s="200">
        <v>7</v>
      </c>
    </row>
    <row r="213" spans="1:9" x14ac:dyDescent="0.2">
      <c r="A213" s="237">
        <v>0.9</v>
      </c>
      <c r="B213" s="237"/>
      <c r="C213" s="233">
        <v>11</v>
      </c>
      <c r="D213" s="240">
        <v>11</v>
      </c>
      <c r="F213" s="237">
        <v>0.6</v>
      </c>
      <c r="H213" s="200">
        <v>8</v>
      </c>
      <c r="I213" s="200">
        <v>8</v>
      </c>
    </row>
    <row r="214" spans="1:9" x14ac:dyDescent="0.2">
      <c r="A214" s="237">
        <v>1</v>
      </c>
      <c r="C214" s="233">
        <v>12</v>
      </c>
      <c r="D214" s="240">
        <v>12</v>
      </c>
      <c r="F214" s="237">
        <v>0.7</v>
      </c>
      <c r="H214" s="200">
        <v>9</v>
      </c>
      <c r="I214" s="200">
        <v>9</v>
      </c>
    </row>
    <row r="215" spans="1:9" x14ac:dyDescent="0.2">
      <c r="A215" s="200" t="s">
        <v>421</v>
      </c>
      <c r="C215" s="233"/>
      <c r="D215" s="228"/>
      <c r="F215" s="237">
        <v>0.8</v>
      </c>
      <c r="H215" s="200">
        <v>10</v>
      </c>
      <c r="I215" s="200">
        <v>10</v>
      </c>
    </row>
    <row r="216" spans="1:9" ht="15" x14ac:dyDescent="0.25">
      <c r="C216" s="207"/>
      <c r="D216" s="208"/>
      <c r="F216" s="237">
        <v>0.9</v>
      </c>
      <c r="H216" s="200">
        <v>11</v>
      </c>
      <c r="I216" s="200">
        <v>11</v>
      </c>
    </row>
    <row r="217" spans="1:9" x14ac:dyDescent="0.2">
      <c r="F217" s="237">
        <v>1</v>
      </c>
      <c r="H217" s="200">
        <v>12</v>
      </c>
      <c r="I217" s="200">
        <v>12</v>
      </c>
    </row>
    <row r="218" spans="1:9" ht="15" x14ac:dyDescent="0.25">
      <c r="A218" s="207" t="s">
        <v>566</v>
      </c>
      <c r="B218" s="207"/>
      <c r="F218" s="200" t="s">
        <v>421</v>
      </c>
    </row>
    <row r="219" spans="1:9" ht="15" x14ac:dyDescent="0.25">
      <c r="A219" s="207"/>
      <c r="B219" s="200" t="s">
        <v>567</v>
      </c>
      <c r="C219" s="207">
        <v>1</v>
      </c>
      <c r="D219" s="208">
        <v>1</v>
      </c>
    </row>
    <row r="220" spans="1:9" ht="15" x14ac:dyDescent="0.25">
      <c r="A220" s="207"/>
      <c r="B220" s="200" t="s">
        <v>568</v>
      </c>
      <c r="C220" s="207">
        <v>1</v>
      </c>
      <c r="D220" s="208">
        <v>1</v>
      </c>
    </row>
    <row r="221" spans="1:9" ht="15" x14ac:dyDescent="0.25">
      <c r="A221" s="207"/>
      <c r="B221" s="200" t="s">
        <v>569</v>
      </c>
      <c r="C221" s="207">
        <v>1</v>
      </c>
      <c r="D221" s="208">
        <v>1</v>
      </c>
    </row>
    <row r="222" spans="1:9" ht="15" x14ac:dyDescent="0.25">
      <c r="A222" s="207"/>
      <c r="B222" s="200" t="s">
        <v>570</v>
      </c>
      <c r="C222" s="207">
        <v>1</v>
      </c>
      <c r="D222" s="208">
        <v>1</v>
      </c>
    </row>
    <row r="223" spans="1:9" ht="15" x14ac:dyDescent="0.25">
      <c r="A223" s="207"/>
      <c r="B223" s="200" t="s">
        <v>571</v>
      </c>
      <c r="C223" s="207">
        <v>1</v>
      </c>
      <c r="D223" s="208">
        <v>1</v>
      </c>
    </row>
    <row r="224" spans="1:9" ht="15" x14ac:dyDescent="0.25">
      <c r="A224" s="207"/>
      <c r="B224" s="200" t="s">
        <v>572</v>
      </c>
      <c r="C224" s="207">
        <v>1</v>
      </c>
      <c r="D224" s="208">
        <v>1</v>
      </c>
    </row>
    <row r="225" spans="1:6" ht="15" x14ac:dyDescent="0.25">
      <c r="A225" s="207"/>
      <c r="B225" s="200" t="s">
        <v>573</v>
      </c>
      <c r="C225" s="207">
        <v>1</v>
      </c>
      <c r="D225" s="208">
        <v>1</v>
      </c>
    </row>
    <row r="226" spans="1:6" ht="15" x14ac:dyDescent="0.25">
      <c r="A226" s="207"/>
      <c r="B226" s="200" t="s">
        <v>574</v>
      </c>
      <c r="C226" s="207">
        <v>1</v>
      </c>
      <c r="D226" s="208">
        <v>1</v>
      </c>
      <c r="F226" s="200" t="s">
        <v>421</v>
      </c>
    </row>
    <row r="227" spans="1:6" ht="15" x14ac:dyDescent="0.25">
      <c r="A227" s="207"/>
      <c r="B227" s="200" t="s">
        <v>575</v>
      </c>
      <c r="C227" s="207">
        <v>1</v>
      </c>
      <c r="D227" s="208">
        <v>1</v>
      </c>
      <c r="F227" s="200" t="s">
        <v>465</v>
      </c>
    </row>
    <row r="228" spans="1:6" ht="15" x14ac:dyDescent="0.25">
      <c r="A228" s="207"/>
      <c r="B228" s="200" t="s">
        <v>576</v>
      </c>
      <c r="C228" s="207"/>
      <c r="D228" s="208">
        <v>1</v>
      </c>
      <c r="F228" s="200" t="s">
        <v>577</v>
      </c>
    </row>
    <row r="229" spans="1:6" ht="15" x14ac:dyDescent="0.25">
      <c r="A229" s="207"/>
      <c r="B229" s="200" t="s">
        <v>578</v>
      </c>
      <c r="C229" s="207"/>
      <c r="D229" s="208">
        <v>1</v>
      </c>
      <c r="F229" s="200" t="s">
        <v>421</v>
      </c>
    </row>
    <row r="230" spans="1:6" ht="15" x14ac:dyDescent="0.25">
      <c r="A230" s="207"/>
      <c r="B230" s="200" t="s">
        <v>579</v>
      </c>
      <c r="C230" s="207"/>
      <c r="D230" s="208">
        <v>1</v>
      </c>
    </row>
    <row r="231" spans="1:6" ht="15" x14ac:dyDescent="0.25">
      <c r="A231" s="207"/>
      <c r="B231" s="200" t="s">
        <v>580</v>
      </c>
      <c r="C231" s="207"/>
      <c r="D231" s="208">
        <v>1</v>
      </c>
    </row>
    <row r="232" spans="1:6" ht="15" x14ac:dyDescent="0.25">
      <c r="A232" s="207"/>
      <c r="B232" s="200" t="s">
        <v>581</v>
      </c>
      <c r="C232" s="207"/>
      <c r="D232" s="208">
        <v>1</v>
      </c>
    </row>
    <row r="233" spans="1:6" ht="15" x14ac:dyDescent="0.25">
      <c r="A233" s="207"/>
      <c r="B233" s="200" t="s">
        <v>582</v>
      </c>
      <c r="C233" s="207"/>
      <c r="D233" s="208">
        <v>1</v>
      </c>
    </row>
    <row r="234" spans="1:6" ht="15" x14ac:dyDescent="0.25">
      <c r="A234" s="207"/>
      <c r="B234" s="200" t="s">
        <v>583</v>
      </c>
      <c r="C234" s="207"/>
      <c r="D234" s="208">
        <v>1</v>
      </c>
    </row>
    <row r="235" spans="1:6" ht="15" x14ac:dyDescent="0.25">
      <c r="A235" s="207"/>
      <c r="B235" s="200" t="s">
        <v>584</v>
      </c>
      <c r="C235" s="207"/>
      <c r="D235" s="208">
        <v>1</v>
      </c>
    </row>
    <row r="236" spans="1:6" ht="15" x14ac:dyDescent="0.25">
      <c r="A236" s="207"/>
      <c r="B236" s="200" t="s">
        <v>585</v>
      </c>
      <c r="C236" s="207"/>
      <c r="D236" s="208">
        <v>1</v>
      </c>
    </row>
    <row r="237" spans="1:6" ht="15" x14ac:dyDescent="0.25">
      <c r="A237" s="207"/>
      <c r="B237" s="200" t="s">
        <v>586</v>
      </c>
      <c r="C237" s="207"/>
      <c r="D237" s="208">
        <v>1</v>
      </c>
    </row>
    <row r="238" spans="1:6" ht="15" x14ac:dyDescent="0.25">
      <c r="A238" s="207"/>
      <c r="B238" s="200" t="s">
        <v>587</v>
      </c>
      <c r="C238" s="207"/>
      <c r="D238" s="208">
        <v>1</v>
      </c>
    </row>
    <row r="239" spans="1:6" ht="15" x14ac:dyDescent="0.25">
      <c r="A239" s="207"/>
      <c r="B239" s="200" t="s">
        <v>588</v>
      </c>
      <c r="C239" s="207"/>
      <c r="D239" s="208">
        <v>1</v>
      </c>
    </row>
    <row r="240" spans="1:6" ht="15" x14ac:dyDescent="0.25">
      <c r="A240" s="207"/>
      <c r="B240" s="200" t="s">
        <v>589</v>
      </c>
      <c r="C240" s="207"/>
      <c r="D240" s="208">
        <v>1</v>
      </c>
    </row>
    <row r="241" spans="1:4" ht="15" x14ac:dyDescent="0.25">
      <c r="A241" s="207"/>
      <c r="B241" s="200" t="s">
        <v>590</v>
      </c>
      <c r="C241" s="207"/>
      <c r="D241" s="208">
        <v>1</v>
      </c>
    </row>
    <row r="242" spans="1:4" ht="15" x14ac:dyDescent="0.25">
      <c r="A242" s="207"/>
      <c r="B242" s="200" t="s">
        <v>591</v>
      </c>
      <c r="C242" s="207"/>
      <c r="D242" s="208">
        <v>1</v>
      </c>
    </row>
    <row r="243" spans="1:4" ht="15" x14ac:dyDescent="0.25">
      <c r="A243" s="207"/>
      <c r="B243" s="200" t="s">
        <v>592</v>
      </c>
      <c r="C243" s="207"/>
      <c r="D243" s="208">
        <v>1</v>
      </c>
    </row>
    <row r="244" spans="1:4" ht="15" x14ac:dyDescent="0.25">
      <c r="A244" s="207"/>
      <c r="B244" s="200" t="s">
        <v>593</v>
      </c>
      <c r="C244" s="207"/>
      <c r="D244" s="208">
        <v>1</v>
      </c>
    </row>
    <row r="245" spans="1:4" ht="15" x14ac:dyDescent="0.25">
      <c r="A245" s="207"/>
      <c r="B245" s="200" t="s">
        <v>594</v>
      </c>
      <c r="C245" s="207"/>
      <c r="D245" s="208">
        <v>1</v>
      </c>
    </row>
    <row r="246" spans="1:4" ht="15" x14ac:dyDescent="0.25">
      <c r="A246" s="207"/>
      <c r="B246" s="200" t="s">
        <v>595</v>
      </c>
      <c r="C246" s="207"/>
      <c r="D246" s="208">
        <v>1</v>
      </c>
    </row>
    <row r="247" spans="1:4" ht="15" x14ac:dyDescent="0.25">
      <c r="A247" s="207"/>
      <c r="B247" s="200" t="s">
        <v>596</v>
      </c>
      <c r="C247" s="207"/>
      <c r="D247" s="208">
        <v>1</v>
      </c>
    </row>
    <row r="248" spans="1:4" ht="15" x14ac:dyDescent="0.25">
      <c r="A248" s="207"/>
      <c r="B248" s="200" t="s">
        <v>597</v>
      </c>
      <c r="C248" s="207"/>
      <c r="D248" s="208">
        <v>1</v>
      </c>
    </row>
    <row r="249" spans="1:4" ht="15" x14ac:dyDescent="0.25">
      <c r="A249" s="207"/>
      <c r="B249" s="200" t="s">
        <v>598</v>
      </c>
      <c r="C249" s="207"/>
      <c r="D249" s="208">
        <v>1</v>
      </c>
    </row>
    <row r="250" spans="1:4" ht="15" x14ac:dyDescent="0.25">
      <c r="A250" s="207"/>
      <c r="B250" s="200" t="s">
        <v>599</v>
      </c>
      <c r="C250" s="207"/>
      <c r="D250" s="208">
        <v>1</v>
      </c>
    </row>
    <row r="251" spans="1:4" ht="15" x14ac:dyDescent="0.25">
      <c r="A251" s="207"/>
      <c r="B251" s="200" t="s">
        <v>600</v>
      </c>
      <c r="C251" s="207"/>
      <c r="D251" s="208">
        <v>1</v>
      </c>
    </row>
    <row r="252" spans="1:4" ht="15" x14ac:dyDescent="0.25">
      <c r="A252" s="207"/>
      <c r="B252" s="200" t="s">
        <v>601</v>
      </c>
      <c r="C252" s="207"/>
      <c r="D252" s="208">
        <v>1</v>
      </c>
    </row>
    <row r="253" spans="1:4" ht="15" x14ac:dyDescent="0.25">
      <c r="A253" s="207"/>
      <c r="B253" s="200" t="s">
        <v>602</v>
      </c>
      <c r="C253" s="207"/>
      <c r="D253" s="208">
        <v>1</v>
      </c>
    </row>
    <row r="254" spans="1:4" ht="15" x14ac:dyDescent="0.25">
      <c r="A254" s="207"/>
      <c r="B254" s="200" t="s">
        <v>603</v>
      </c>
      <c r="C254" s="207"/>
      <c r="D254" s="208">
        <v>1</v>
      </c>
    </row>
    <row r="255" spans="1:4" ht="15" x14ac:dyDescent="0.25">
      <c r="A255" s="207"/>
      <c r="B255" s="200" t="s">
        <v>604</v>
      </c>
      <c r="C255" s="207">
        <v>1</v>
      </c>
      <c r="D255" s="208">
        <v>3</v>
      </c>
    </row>
    <row r="256" spans="1:4" ht="15" x14ac:dyDescent="0.25">
      <c r="A256" s="207"/>
      <c r="B256" s="200" t="s">
        <v>605</v>
      </c>
      <c r="C256" s="207">
        <v>1</v>
      </c>
      <c r="D256" s="208">
        <v>1</v>
      </c>
    </row>
    <row r="257" spans="1:4" ht="15" x14ac:dyDescent="0.25">
      <c r="A257" s="207"/>
      <c r="B257" s="200" t="s">
        <v>606</v>
      </c>
      <c r="C257" s="207">
        <v>1</v>
      </c>
      <c r="D257" s="208">
        <v>1</v>
      </c>
    </row>
    <row r="258" spans="1:4" ht="15" x14ac:dyDescent="0.25">
      <c r="A258" s="207" t="s">
        <v>421</v>
      </c>
      <c r="C258" s="200">
        <v>1</v>
      </c>
      <c r="D258" s="213">
        <v>1</v>
      </c>
    </row>
    <row r="259" spans="1:4" x14ac:dyDescent="0.2">
      <c r="A259" s="200" t="s">
        <v>465</v>
      </c>
      <c r="C259" s="200">
        <v>2</v>
      </c>
      <c r="D259" s="213">
        <v>2</v>
      </c>
    </row>
    <row r="260" spans="1:4" x14ac:dyDescent="0.2">
      <c r="A260" s="200" t="s">
        <v>467</v>
      </c>
      <c r="C260" s="200">
        <v>3</v>
      </c>
      <c r="D260" s="213">
        <v>3</v>
      </c>
    </row>
    <row r="261" spans="1:4" x14ac:dyDescent="0.2">
      <c r="A261" s="200" t="s">
        <v>421</v>
      </c>
    </row>
    <row r="262" spans="1:4" x14ac:dyDescent="0.2">
      <c r="A262" s="200" t="s">
        <v>421</v>
      </c>
    </row>
    <row r="263" spans="1:4" ht="15" x14ac:dyDescent="0.25">
      <c r="A263" s="207" t="s">
        <v>607</v>
      </c>
      <c r="B263" s="207"/>
    </row>
    <row r="264" spans="1:4" ht="15" x14ac:dyDescent="0.25">
      <c r="A264" s="207"/>
      <c r="B264" s="200" t="s">
        <v>608</v>
      </c>
      <c r="C264" s="207">
        <v>1</v>
      </c>
      <c r="D264" s="208">
        <v>1</v>
      </c>
    </row>
    <row r="265" spans="1:4" ht="15" x14ac:dyDescent="0.25">
      <c r="A265" s="207"/>
      <c r="B265" s="200" t="s">
        <v>609</v>
      </c>
      <c r="C265" s="207">
        <v>1</v>
      </c>
      <c r="D265" s="208">
        <v>1</v>
      </c>
    </row>
    <row r="266" spans="1:4" ht="15" x14ac:dyDescent="0.25">
      <c r="A266" s="207"/>
      <c r="B266" s="200" t="s">
        <v>610</v>
      </c>
      <c r="C266" s="207">
        <v>1</v>
      </c>
      <c r="D266" s="208">
        <v>1</v>
      </c>
    </row>
    <row r="267" spans="1:4" ht="15" x14ac:dyDescent="0.25">
      <c r="A267" s="207"/>
      <c r="B267" s="200" t="s">
        <v>611</v>
      </c>
      <c r="C267" s="207">
        <v>1</v>
      </c>
      <c r="D267" s="208">
        <v>1</v>
      </c>
    </row>
    <row r="268" spans="1:4" ht="15" x14ac:dyDescent="0.25">
      <c r="A268" s="207"/>
      <c r="B268" s="200" t="s">
        <v>612</v>
      </c>
      <c r="C268" s="207">
        <v>1</v>
      </c>
      <c r="D268" s="208">
        <v>1</v>
      </c>
    </row>
    <row r="269" spans="1:4" x14ac:dyDescent="0.2">
      <c r="A269" s="200" t="s">
        <v>421</v>
      </c>
      <c r="C269" s="213">
        <v>1</v>
      </c>
      <c r="D269" s="213">
        <v>1</v>
      </c>
    </row>
    <row r="270" spans="1:4" x14ac:dyDescent="0.2">
      <c r="A270" s="200" t="s">
        <v>613</v>
      </c>
      <c r="C270" s="213">
        <v>2</v>
      </c>
      <c r="D270" s="213">
        <v>2</v>
      </c>
    </row>
    <row r="271" spans="1:4" x14ac:dyDescent="0.2">
      <c r="A271" s="200" t="s">
        <v>467</v>
      </c>
      <c r="C271" s="213">
        <v>3</v>
      </c>
      <c r="D271" s="213">
        <v>3</v>
      </c>
    </row>
    <row r="272" spans="1:4" x14ac:dyDescent="0.2">
      <c r="A272" s="200" t="s">
        <v>421</v>
      </c>
      <c r="C272" s="241"/>
      <c r="D272" s="242"/>
    </row>
    <row r="273" spans="1:5" x14ac:dyDescent="0.2">
      <c r="C273" s="241"/>
      <c r="D273" s="242"/>
    </row>
    <row r="274" spans="1:5" ht="15" x14ac:dyDescent="0.25">
      <c r="A274" s="207"/>
      <c r="B274" s="200" t="s">
        <v>614</v>
      </c>
      <c r="C274" s="207">
        <v>1</v>
      </c>
      <c r="D274" s="208">
        <v>1</v>
      </c>
    </row>
    <row r="275" spans="1:5" ht="15" x14ac:dyDescent="0.25">
      <c r="A275" s="207" t="s">
        <v>421</v>
      </c>
      <c r="C275" s="218">
        <v>1</v>
      </c>
      <c r="D275" s="243">
        <v>1</v>
      </c>
    </row>
    <row r="276" spans="1:5" x14ac:dyDescent="0.2">
      <c r="A276" s="200" t="s">
        <v>615</v>
      </c>
      <c r="C276" s="218">
        <v>2</v>
      </c>
      <c r="D276" s="243">
        <v>2</v>
      </c>
    </row>
    <row r="277" spans="1:5" x14ac:dyDescent="0.2">
      <c r="A277" s="200" t="s">
        <v>577</v>
      </c>
      <c r="C277" s="218">
        <v>3</v>
      </c>
      <c r="D277" s="243">
        <v>3</v>
      </c>
    </row>
    <row r="278" spans="1:5" x14ac:dyDescent="0.2">
      <c r="A278" s="200" t="s">
        <v>421</v>
      </c>
      <c r="C278" s="241"/>
      <c r="D278" s="242"/>
    </row>
    <row r="279" spans="1:5" ht="15" x14ac:dyDescent="0.25">
      <c r="B279" s="207"/>
    </row>
    <row r="280" spans="1:5" ht="15" x14ac:dyDescent="0.25">
      <c r="A280" s="207" t="s">
        <v>616</v>
      </c>
      <c r="B280" s="241"/>
    </row>
    <row r="281" spans="1:5" x14ac:dyDescent="0.2">
      <c r="A281" s="241" t="s">
        <v>617</v>
      </c>
      <c r="E281" s="200" t="s">
        <v>618</v>
      </c>
    </row>
    <row r="282" spans="1:5" ht="15" x14ac:dyDescent="0.25">
      <c r="A282" s="200">
        <f>COUNTIF(C219:C223,2)</f>
        <v>0</v>
      </c>
      <c r="C282" s="207"/>
      <c r="D282" s="208"/>
      <c r="E282" s="200">
        <f>COUNTIF(Data!D219:D223,2)</f>
        <v>0</v>
      </c>
    </row>
    <row r="283" spans="1:5" x14ac:dyDescent="0.2">
      <c r="C283" s="241"/>
      <c r="D283" s="242"/>
    </row>
    <row r="284" spans="1:5" ht="15" x14ac:dyDescent="0.25">
      <c r="B284" s="207"/>
    </row>
    <row r="285" spans="1:5" ht="15" x14ac:dyDescent="0.25">
      <c r="A285" s="207" t="s">
        <v>619</v>
      </c>
      <c r="B285" s="241"/>
    </row>
    <row r="286" spans="1:5" ht="15" x14ac:dyDescent="0.25">
      <c r="A286" s="241" t="s">
        <v>617</v>
      </c>
      <c r="C286" s="207"/>
      <c r="D286" s="208"/>
      <c r="E286" s="200" t="s">
        <v>618</v>
      </c>
    </row>
    <row r="287" spans="1:5" ht="15" x14ac:dyDescent="0.25">
      <c r="A287" s="200">
        <f>COUNTIF(C171,1)</f>
        <v>1</v>
      </c>
      <c r="C287" s="207"/>
      <c r="D287" s="208"/>
      <c r="E287" s="200">
        <f>COUNTIF(D171,1)</f>
        <v>1</v>
      </c>
    </row>
    <row r="288" spans="1:5" x14ac:dyDescent="0.2">
      <c r="A288" s="200">
        <f>COUNTIF(C171,2)</f>
        <v>0</v>
      </c>
      <c r="E288" s="200">
        <f>COUNTIF(D171,2)</f>
        <v>0</v>
      </c>
    </row>
    <row r="289" spans="1:5" ht="15" x14ac:dyDescent="0.25">
      <c r="A289" s="244">
        <f>COUNTIF(C171,3)</f>
        <v>0</v>
      </c>
      <c r="B289" s="207"/>
      <c r="E289" s="244">
        <f>COUNTIF(D171,3)</f>
        <v>0</v>
      </c>
    </row>
    <row r="290" spans="1:5" ht="15" x14ac:dyDescent="0.25">
      <c r="A290" s="207">
        <f>SUM(A287:A289)</f>
        <v>1</v>
      </c>
      <c r="E290" s="207">
        <f>SUM(E287:E289)</f>
        <v>1</v>
      </c>
    </row>
  </sheetData>
  <sheetProtection algorithmName="SHA-512" hashValue="mno2gheUMRB4sZe7LMlS+bmJiCRx869CXlnLcFUwYii7OcRuY/ctAqQjbC+bFs9Ht1z+jWPY8Wggx54yiH2U7A==" saltValue="js7YVELGGyDOR0w1Fd6veA==" spinCount="100000" sheet="1" objects="1" scenarios="1"/>
  <sortState xmlns:xlrd2="http://schemas.microsoft.com/office/spreadsheetml/2017/richdata2" ref="AN19:AN292">
    <sortCondition ref="AN19"/>
  </sortState>
  <mergeCells count="2">
    <mergeCell ref="C1:C2"/>
    <mergeCell ref="D1:D2"/>
  </mergeCells>
  <dataValidations disablePrompts="1" count="1">
    <dataValidation type="list" allowBlank="1" showInputMessage="1" showErrorMessage="1" sqref="D116" xr:uid="{00000000-0002-0000-0300-000000000000}">
      <formula1>$J$2:$J$8</formula1>
    </dataValidation>
  </dataValidations>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1"/>
  <dimension ref="A1:L160"/>
  <sheetViews>
    <sheetView topLeftCell="K122" workbookViewId="0">
      <selection activeCell="J122" sqref="A1:J1048576"/>
    </sheetView>
  </sheetViews>
  <sheetFormatPr defaultRowHeight="15" x14ac:dyDescent="0.25"/>
  <cols>
    <col min="1" max="1" width="58.7109375" hidden="1" customWidth="1"/>
    <col min="2" max="2" width="20" hidden="1" customWidth="1"/>
    <col min="3" max="6" width="9.140625" hidden="1" customWidth="1"/>
    <col min="7" max="7" width="19.42578125" hidden="1" customWidth="1"/>
    <col min="8" max="8" width="48.140625" hidden="1" customWidth="1"/>
    <col min="9" max="9" width="35.28515625" hidden="1" customWidth="1"/>
    <col min="10" max="10" width="19.28515625" hidden="1" customWidth="1"/>
    <col min="11" max="15" width="9.140625" customWidth="1"/>
  </cols>
  <sheetData>
    <row r="1" spans="1:12" ht="15.75" x14ac:dyDescent="0.25">
      <c r="A1" s="245" t="s">
        <v>620</v>
      </c>
      <c r="B1" s="245"/>
      <c r="G1" s="246" t="s">
        <v>621</v>
      </c>
      <c r="H1" s="246" t="s">
        <v>620</v>
      </c>
      <c r="I1" s="246" t="s">
        <v>622</v>
      </c>
      <c r="J1" s="246" t="s">
        <v>623</v>
      </c>
      <c r="K1" s="245"/>
    </row>
    <row r="2" spans="1:12" ht="15.75" x14ac:dyDescent="0.25">
      <c r="A2" s="247" t="s">
        <v>624</v>
      </c>
      <c r="B2" s="248"/>
      <c r="C2" s="249"/>
      <c r="G2" t="s">
        <v>937</v>
      </c>
      <c r="H2" t="s">
        <v>753</v>
      </c>
      <c r="I2" t="s">
        <v>938</v>
      </c>
      <c r="J2" t="s">
        <v>939</v>
      </c>
      <c r="K2" s="250"/>
      <c r="L2" s="250"/>
    </row>
    <row r="3" spans="1:12" ht="15.75" x14ac:dyDescent="0.25">
      <c r="A3" s="247" t="s">
        <v>628</v>
      </c>
      <c r="B3" s="248"/>
      <c r="C3" s="249"/>
      <c r="G3" t="s">
        <v>775</v>
      </c>
      <c r="H3" t="s">
        <v>666</v>
      </c>
      <c r="I3" t="s">
        <v>776</v>
      </c>
      <c r="J3" t="s">
        <v>777</v>
      </c>
      <c r="K3" s="250"/>
      <c r="L3" s="250"/>
    </row>
    <row r="4" spans="1:12" ht="15.75" x14ac:dyDescent="0.25">
      <c r="A4" s="247" t="s">
        <v>631</v>
      </c>
      <c r="B4" s="248"/>
      <c r="C4" s="249"/>
      <c r="G4" t="s">
        <v>775</v>
      </c>
      <c r="H4" t="s">
        <v>969</v>
      </c>
      <c r="I4" t="s">
        <v>776</v>
      </c>
      <c r="J4" t="s">
        <v>970</v>
      </c>
      <c r="K4" s="250"/>
      <c r="L4" s="250"/>
    </row>
    <row r="5" spans="1:12" ht="15.75" x14ac:dyDescent="0.25">
      <c r="A5" s="247" t="s">
        <v>635</v>
      </c>
      <c r="B5" s="248"/>
      <c r="C5" s="249"/>
      <c r="G5" t="s">
        <v>951</v>
      </c>
      <c r="H5" t="s">
        <v>767</v>
      </c>
      <c r="I5" t="s">
        <v>952</v>
      </c>
      <c r="K5" s="250"/>
      <c r="L5" s="250"/>
    </row>
    <row r="6" spans="1:12" ht="15.75" x14ac:dyDescent="0.25">
      <c r="A6" s="251" t="s">
        <v>638</v>
      </c>
      <c r="B6" s="252"/>
      <c r="C6" s="249"/>
      <c r="G6" t="s">
        <v>4</v>
      </c>
      <c r="H6" t="s">
        <v>739</v>
      </c>
      <c r="I6" t="s">
        <v>904</v>
      </c>
      <c r="J6" t="s">
        <v>905</v>
      </c>
      <c r="K6" s="250"/>
      <c r="L6" s="250"/>
    </row>
    <row r="7" spans="1:12" ht="15.75" x14ac:dyDescent="0.25">
      <c r="A7" s="253" t="s">
        <v>641</v>
      </c>
      <c r="B7" s="254"/>
      <c r="C7" s="249"/>
      <c r="G7" t="s">
        <v>728</v>
      </c>
      <c r="H7" t="s">
        <v>651</v>
      </c>
      <c r="I7" t="s">
        <v>729</v>
      </c>
      <c r="J7" t="s">
        <v>730</v>
      </c>
      <c r="K7" s="250"/>
      <c r="L7" s="250"/>
    </row>
    <row r="8" spans="1:12" ht="15.75" x14ac:dyDescent="0.25">
      <c r="A8" s="253" t="s">
        <v>644</v>
      </c>
      <c r="B8" s="254"/>
      <c r="C8" s="249"/>
      <c r="G8" t="s">
        <v>632</v>
      </c>
      <c r="H8" t="s">
        <v>628</v>
      </c>
      <c r="I8" t="s">
        <v>633</v>
      </c>
      <c r="J8" t="s">
        <v>634</v>
      </c>
      <c r="K8" s="250"/>
      <c r="L8" s="250"/>
    </row>
    <row r="9" spans="1:12" ht="15.75" x14ac:dyDescent="0.25">
      <c r="A9" s="253" t="s">
        <v>647</v>
      </c>
      <c r="B9" s="254"/>
      <c r="C9" s="249"/>
      <c r="G9" t="s">
        <v>736</v>
      </c>
      <c r="H9" t="s">
        <v>654</v>
      </c>
      <c r="I9" t="s">
        <v>737</v>
      </c>
      <c r="J9" t="s">
        <v>738</v>
      </c>
      <c r="K9" s="250"/>
      <c r="L9" s="250"/>
    </row>
    <row r="10" spans="1:12" x14ac:dyDescent="0.25">
      <c r="A10" t="s">
        <v>651</v>
      </c>
      <c r="B10" s="254"/>
      <c r="C10" s="249"/>
      <c r="G10" t="s">
        <v>636</v>
      </c>
      <c r="H10" t="s">
        <v>628</v>
      </c>
      <c r="I10" t="s">
        <v>637</v>
      </c>
      <c r="J10" t="s">
        <v>634</v>
      </c>
      <c r="K10" s="250"/>
      <c r="L10" s="250"/>
    </row>
    <row r="11" spans="1:12" ht="15.75" x14ac:dyDescent="0.25">
      <c r="A11" s="255" t="s">
        <v>654</v>
      </c>
      <c r="B11" s="254"/>
      <c r="C11" s="249"/>
      <c r="G11" t="s">
        <v>934</v>
      </c>
      <c r="H11" t="s">
        <v>749</v>
      </c>
      <c r="I11" t="s">
        <v>935</v>
      </c>
      <c r="J11" t="s">
        <v>936</v>
      </c>
      <c r="K11" s="250"/>
      <c r="L11" s="250"/>
    </row>
    <row r="12" spans="1:12" ht="15.75" x14ac:dyDescent="0.25">
      <c r="A12" s="256" t="s">
        <v>657</v>
      </c>
      <c r="B12" s="254"/>
      <c r="C12" s="249"/>
      <c r="G12" t="s">
        <v>914</v>
      </c>
      <c r="H12" t="s">
        <v>743</v>
      </c>
      <c r="I12" t="s">
        <v>915</v>
      </c>
      <c r="J12" t="s">
        <v>916</v>
      </c>
      <c r="K12" s="250"/>
      <c r="L12" s="250"/>
    </row>
    <row r="13" spans="1:12" ht="15.75" x14ac:dyDescent="0.25">
      <c r="A13" s="253" t="s">
        <v>660</v>
      </c>
      <c r="B13" s="254"/>
      <c r="C13" s="249"/>
      <c r="G13" t="s">
        <v>708</v>
      </c>
      <c r="H13" t="s">
        <v>704</v>
      </c>
      <c r="I13" t="s">
        <v>709</v>
      </c>
      <c r="J13" t="s">
        <v>710</v>
      </c>
      <c r="K13" s="250"/>
      <c r="L13" s="250"/>
    </row>
    <row r="14" spans="1:12" ht="15.75" x14ac:dyDescent="0.25">
      <c r="A14" s="253" t="s">
        <v>663</v>
      </c>
      <c r="B14" s="254"/>
      <c r="C14" s="249"/>
      <c r="G14" t="s">
        <v>816</v>
      </c>
      <c r="H14" t="s">
        <v>679</v>
      </c>
      <c r="I14" t="s">
        <v>817</v>
      </c>
      <c r="J14" t="s">
        <v>818</v>
      </c>
      <c r="K14" s="250"/>
      <c r="L14" s="250"/>
    </row>
    <row r="15" spans="1:12" ht="15.75" x14ac:dyDescent="0.25">
      <c r="A15" s="255" t="s">
        <v>666</v>
      </c>
      <c r="B15" s="254"/>
      <c r="C15" s="249"/>
      <c r="G15" t="s">
        <v>992</v>
      </c>
      <c r="H15" t="s">
        <v>993</v>
      </c>
      <c r="I15" t="s">
        <v>994</v>
      </c>
      <c r="K15" s="250"/>
      <c r="L15" s="250"/>
    </row>
    <row r="16" spans="1:12" ht="15.75" x14ac:dyDescent="0.25">
      <c r="A16" s="253" t="s">
        <v>669</v>
      </c>
      <c r="B16" s="254"/>
      <c r="C16" s="249"/>
      <c r="G16" t="s">
        <v>901</v>
      </c>
      <c r="H16" t="s">
        <v>735</v>
      </c>
      <c r="I16" t="s">
        <v>902</v>
      </c>
      <c r="J16" t="s">
        <v>903</v>
      </c>
      <c r="K16" s="250"/>
      <c r="L16" s="250"/>
    </row>
    <row r="17" spans="1:12" ht="15.75" x14ac:dyDescent="0.25">
      <c r="A17" s="253" t="s">
        <v>672</v>
      </c>
      <c r="B17" s="254"/>
      <c r="C17" s="249"/>
      <c r="G17" t="s">
        <v>868</v>
      </c>
      <c r="H17" t="s">
        <v>723</v>
      </c>
      <c r="I17" t="s">
        <v>869</v>
      </c>
      <c r="J17" t="s">
        <v>870</v>
      </c>
      <c r="K17" s="250"/>
      <c r="L17" s="250"/>
    </row>
    <row r="18" spans="1:12" ht="15.75" x14ac:dyDescent="0.25">
      <c r="A18" s="253" t="s">
        <v>676</v>
      </c>
      <c r="B18" s="254"/>
      <c r="C18" s="249"/>
      <c r="G18" t="s">
        <v>845</v>
      </c>
      <c r="H18" t="s">
        <v>699</v>
      </c>
      <c r="I18" t="s">
        <v>846</v>
      </c>
      <c r="J18" t="s">
        <v>847</v>
      </c>
      <c r="K18" s="250"/>
      <c r="L18" s="250"/>
    </row>
    <row r="19" spans="1:12" ht="15.75" x14ac:dyDescent="0.25">
      <c r="A19" s="253" t="s">
        <v>679</v>
      </c>
      <c r="B19" s="254"/>
      <c r="C19" s="249"/>
      <c r="G19" t="s">
        <v>778</v>
      </c>
      <c r="H19" t="s">
        <v>666</v>
      </c>
      <c r="I19" t="s">
        <v>779</v>
      </c>
      <c r="J19" t="s">
        <v>780</v>
      </c>
      <c r="K19" s="250"/>
      <c r="L19" s="250"/>
    </row>
    <row r="20" spans="1:12" ht="15.75" x14ac:dyDescent="0.25">
      <c r="A20" s="253" t="s">
        <v>682</v>
      </c>
      <c r="B20" s="254"/>
      <c r="C20" s="249"/>
      <c r="G20" t="s">
        <v>803</v>
      </c>
      <c r="H20" t="s">
        <v>676</v>
      </c>
      <c r="I20" t="s">
        <v>804</v>
      </c>
      <c r="J20" t="s">
        <v>805</v>
      </c>
      <c r="K20" s="250"/>
      <c r="L20" s="250"/>
    </row>
    <row r="21" spans="1:12" ht="15.75" x14ac:dyDescent="0.25">
      <c r="A21" s="253" t="s">
        <v>685</v>
      </c>
      <c r="B21" s="254"/>
      <c r="C21" s="249"/>
      <c r="G21" t="s">
        <v>690</v>
      </c>
      <c r="H21" t="s">
        <v>641</v>
      </c>
      <c r="I21" t="s">
        <v>691</v>
      </c>
      <c r="J21" t="s">
        <v>692</v>
      </c>
      <c r="K21" s="250"/>
      <c r="L21" s="250"/>
    </row>
    <row r="22" spans="1:12" ht="15.75" x14ac:dyDescent="0.25">
      <c r="A22" s="253" t="s">
        <v>689</v>
      </c>
      <c r="B22" s="254"/>
      <c r="C22" s="249"/>
      <c r="G22" t="s">
        <v>690</v>
      </c>
      <c r="H22" t="s">
        <v>723</v>
      </c>
      <c r="I22" t="s">
        <v>691</v>
      </c>
      <c r="J22" t="s">
        <v>692</v>
      </c>
      <c r="K22" s="250"/>
      <c r="L22" s="250"/>
    </row>
    <row r="23" spans="1:12" x14ac:dyDescent="0.25">
      <c r="A23" t="s">
        <v>693</v>
      </c>
      <c r="B23" s="254"/>
      <c r="C23" s="249"/>
      <c r="G23" t="s">
        <v>854</v>
      </c>
      <c r="H23" t="s">
        <v>707</v>
      </c>
      <c r="I23" t="s">
        <v>855</v>
      </c>
      <c r="J23" t="s">
        <v>856</v>
      </c>
      <c r="K23" s="250"/>
      <c r="L23" s="250"/>
    </row>
    <row r="24" spans="1:12" ht="15.75" x14ac:dyDescent="0.25">
      <c r="A24" s="253" t="s">
        <v>696</v>
      </c>
      <c r="B24" s="254"/>
      <c r="C24" s="249"/>
      <c r="G24" t="s">
        <v>639</v>
      </c>
      <c r="H24" t="s">
        <v>628</v>
      </c>
      <c r="I24" t="s">
        <v>640</v>
      </c>
      <c r="J24" t="s">
        <v>634</v>
      </c>
      <c r="K24" s="250"/>
      <c r="L24" s="250"/>
    </row>
    <row r="25" spans="1:12" ht="15.75" x14ac:dyDescent="0.25">
      <c r="A25" s="256" t="s">
        <v>699</v>
      </c>
      <c r="B25" s="254"/>
      <c r="C25" s="249"/>
      <c r="G25" t="s">
        <v>758</v>
      </c>
      <c r="H25" t="s">
        <v>723</v>
      </c>
      <c r="I25" t="s">
        <v>759</v>
      </c>
      <c r="K25" s="250"/>
      <c r="L25" s="250"/>
    </row>
    <row r="26" spans="1:12" ht="15.75" x14ac:dyDescent="0.25">
      <c r="A26" s="257" t="s">
        <v>702</v>
      </c>
      <c r="B26" s="258"/>
      <c r="C26" s="249"/>
      <c r="G26" t="s">
        <v>712</v>
      </c>
      <c r="H26" t="s">
        <v>704</v>
      </c>
      <c r="I26" t="s">
        <v>713</v>
      </c>
      <c r="J26" t="s">
        <v>714</v>
      </c>
      <c r="K26" s="259"/>
      <c r="L26" s="259"/>
    </row>
    <row r="27" spans="1:12" ht="15.75" x14ac:dyDescent="0.25">
      <c r="A27" s="255" t="s">
        <v>707</v>
      </c>
      <c r="B27" s="254"/>
      <c r="C27" s="249"/>
      <c r="G27" t="s">
        <v>906</v>
      </c>
      <c r="H27" t="s">
        <v>739</v>
      </c>
      <c r="I27" t="s">
        <v>907</v>
      </c>
      <c r="K27" s="259"/>
      <c r="L27" s="259"/>
    </row>
    <row r="28" spans="1:12" ht="15.75" x14ac:dyDescent="0.25">
      <c r="A28" s="256" t="s">
        <v>711</v>
      </c>
      <c r="B28" s="254"/>
      <c r="C28" s="249"/>
      <c r="G28" t="s">
        <v>642</v>
      </c>
      <c r="H28" t="s">
        <v>628</v>
      </c>
      <c r="I28" t="s">
        <v>643</v>
      </c>
      <c r="J28" t="s">
        <v>634</v>
      </c>
      <c r="K28" s="259"/>
      <c r="L28" s="259"/>
    </row>
    <row r="29" spans="1:12" ht="15.75" x14ac:dyDescent="0.25">
      <c r="A29" s="253" t="s">
        <v>715</v>
      </c>
      <c r="B29" s="254"/>
      <c r="C29" s="249"/>
      <c r="G29" t="s">
        <v>625</v>
      </c>
      <c r="H29" t="s">
        <v>624</v>
      </c>
      <c r="I29" t="s">
        <v>626</v>
      </c>
      <c r="J29" t="s">
        <v>627</v>
      </c>
      <c r="K29" s="250"/>
      <c r="L29" s="250"/>
    </row>
    <row r="30" spans="1:12" ht="15.75" x14ac:dyDescent="0.25">
      <c r="A30" s="253" t="s">
        <v>719</v>
      </c>
      <c r="B30" s="254"/>
      <c r="C30" s="249"/>
      <c r="G30" t="s">
        <v>947</v>
      </c>
      <c r="H30" t="s">
        <v>948</v>
      </c>
      <c r="I30" t="s">
        <v>949</v>
      </c>
      <c r="J30" t="s">
        <v>950</v>
      </c>
      <c r="K30" s="250"/>
      <c r="L30" s="250"/>
    </row>
    <row r="31" spans="1:12" x14ac:dyDescent="0.25">
      <c r="A31" t="s">
        <v>723</v>
      </c>
      <c r="B31" s="254"/>
      <c r="C31" s="249"/>
      <c r="G31" t="s">
        <v>925</v>
      </c>
      <c r="H31" t="s">
        <v>746</v>
      </c>
      <c r="I31" t="s">
        <v>926</v>
      </c>
      <c r="J31" t="s">
        <v>927</v>
      </c>
      <c r="K31" s="250"/>
      <c r="L31" s="250"/>
    </row>
    <row r="32" spans="1:12" ht="15.75" x14ac:dyDescent="0.25">
      <c r="A32" s="253" t="s">
        <v>727</v>
      </c>
      <c r="B32" s="254"/>
      <c r="C32" s="249"/>
      <c r="G32" t="s">
        <v>761</v>
      </c>
      <c r="H32" t="s">
        <v>663</v>
      </c>
      <c r="I32" t="s">
        <v>762</v>
      </c>
      <c r="J32" t="s">
        <v>763</v>
      </c>
      <c r="K32" s="250"/>
      <c r="L32" s="250"/>
    </row>
    <row r="33" spans="1:12" ht="15.75" x14ac:dyDescent="0.25">
      <c r="A33" s="253" t="s">
        <v>731</v>
      </c>
      <c r="B33" s="254"/>
      <c r="C33" s="249"/>
      <c r="G33" t="s">
        <v>761</v>
      </c>
      <c r="H33" t="s">
        <v>723</v>
      </c>
      <c r="I33" t="s">
        <v>871</v>
      </c>
      <c r="J33" t="s">
        <v>872</v>
      </c>
      <c r="K33" s="250"/>
      <c r="L33" s="250"/>
    </row>
    <row r="34" spans="1:12" ht="15.75" x14ac:dyDescent="0.25">
      <c r="A34" s="253" t="s">
        <v>735</v>
      </c>
      <c r="B34" s="254"/>
      <c r="C34" s="249"/>
      <c r="G34" t="s">
        <v>888</v>
      </c>
      <c r="H34" t="s">
        <v>889</v>
      </c>
      <c r="I34" t="s">
        <v>890</v>
      </c>
      <c r="J34" t="s">
        <v>891</v>
      </c>
      <c r="K34" s="250"/>
      <c r="L34" s="250"/>
    </row>
    <row r="35" spans="1:12" ht="15.75" x14ac:dyDescent="0.25">
      <c r="A35" s="253" t="s">
        <v>739</v>
      </c>
      <c r="B35" s="254"/>
      <c r="C35" s="249"/>
      <c r="G35" t="s">
        <v>995</v>
      </c>
      <c r="H35" t="s">
        <v>993</v>
      </c>
      <c r="I35" t="s">
        <v>996</v>
      </c>
      <c r="K35" s="250"/>
      <c r="L35" s="250"/>
    </row>
    <row r="36" spans="1:12" ht="15.75" x14ac:dyDescent="0.25">
      <c r="A36" s="253" t="s">
        <v>743</v>
      </c>
      <c r="B36" s="254"/>
      <c r="C36" s="249"/>
      <c r="G36" t="s">
        <v>740</v>
      </c>
      <c r="H36" t="s">
        <v>654</v>
      </c>
      <c r="I36" t="s">
        <v>741</v>
      </c>
      <c r="J36" t="s">
        <v>742</v>
      </c>
      <c r="K36" s="250"/>
      <c r="L36" s="250"/>
    </row>
    <row r="37" spans="1:12" ht="15.75" x14ac:dyDescent="0.25">
      <c r="A37" s="255" t="s">
        <v>746</v>
      </c>
      <c r="B37" s="254"/>
      <c r="C37" s="249"/>
      <c r="G37" t="s">
        <v>686</v>
      </c>
      <c r="H37" t="s">
        <v>638</v>
      </c>
      <c r="I37" t="s">
        <v>687</v>
      </c>
      <c r="J37" t="s">
        <v>688</v>
      </c>
      <c r="K37" s="250"/>
      <c r="L37" s="250"/>
    </row>
    <row r="38" spans="1:12" ht="15.75" x14ac:dyDescent="0.25">
      <c r="A38" s="256" t="s">
        <v>749</v>
      </c>
      <c r="B38" s="254"/>
      <c r="C38" s="249"/>
      <c r="G38" t="s">
        <v>798</v>
      </c>
      <c r="H38" t="s">
        <v>672</v>
      </c>
      <c r="I38" t="s">
        <v>799</v>
      </c>
      <c r="J38" t="s">
        <v>800</v>
      </c>
      <c r="K38" s="250"/>
      <c r="L38" s="250"/>
    </row>
    <row r="39" spans="1:12" ht="15.75" x14ac:dyDescent="0.25">
      <c r="A39" s="253" t="s">
        <v>753</v>
      </c>
      <c r="B39" s="254"/>
      <c r="C39" s="249"/>
      <c r="G39" t="s">
        <v>928</v>
      </c>
      <c r="H39" t="s">
        <v>746</v>
      </c>
      <c r="I39" t="s">
        <v>929</v>
      </c>
      <c r="J39" t="s">
        <v>927</v>
      </c>
      <c r="K39" s="250"/>
      <c r="L39" s="250"/>
    </row>
    <row r="40" spans="1:12" ht="15.75" x14ac:dyDescent="0.25">
      <c r="A40" s="253" t="s">
        <v>757</v>
      </c>
      <c r="B40" s="254"/>
      <c r="C40" s="249"/>
      <c r="G40" t="s">
        <v>716</v>
      </c>
      <c r="H40" t="s">
        <v>644</v>
      </c>
      <c r="I40" t="s">
        <v>717</v>
      </c>
      <c r="J40" t="s">
        <v>718</v>
      </c>
      <c r="K40" s="250"/>
      <c r="L40" s="250"/>
    </row>
    <row r="41" spans="1:12" ht="15.75" x14ac:dyDescent="0.25">
      <c r="A41" s="256" t="s">
        <v>760</v>
      </c>
      <c r="B41" s="254"/>
      <c r="C41" s="249"/>
      <c r="G41" t="s">
        <v>645</v>
      </c>
      <c r="H41" t="s">
        <v>628</v>
      </c>
      <c r="I41" t="s">
        <v>646</v>
      </c>
      <c r="J41" t="s">
        <v>634</v>
      </c>
      <c r="K41" s="250"/>
      <c r="L41" s="250"/>
    </row>
    <row r="42" spans="1:12" ht="15.75" x14ac:dyDescent="0.25">
      <c r="A42" s="256" t="s">
        <v>764</v>
      </c>
      <c r="B42" s="254"/>
      <c r="C42" s="249"/>
      <c r="G42" t="s">
        <v>930</v>
      </c>
      <c r="H42" t="s">
        <v>746</v>
      </c>
      <c r="I42" t="s">
        <v>931</v>
      </c>
      <c r="J42" t="s">
        <v>927</v>
      </c>
      <c r="K42" s="250"/>
      <c r="L42" s="250"/>
    </row>
    <row r="43" spans="1:12" x14ac:dyDescent="0.25">
      <c r="A43" t="s">
        <v>767</v>
      </c>
      <c r="B43" s="248"/>
      <c r="C43" s="249"/>
      <c r="G43" t="s">
        <v>694</v>
      </c>
      <c r="H43" t="s">
        <v>641</v>
      </c>
      <c r="I43" t="s">
        <v>695</v>
      </c>
      <c r="J43" t="s">
        <v>692</v>
      </c>
      <c r="K43" s="250"/>
      <c r="L43" s="250"/>
    </row>
    <row r="44" spans="1:12" x14ac:dyDescent="0.25">
      <c r="G44" t="s">
        <v>973</v>
      </c>
      <c r="H44" t="s">
        <v>654</v>
      </c>
      <c r="I44" t="s">
        <v>974</v>
      </c>
      <c r="K44" s="250"/>
      <c r="L44" s="250"/>
    </row>
    <row r="45" spans="1:12" x14ac:dyDescent="0.25">
      <c r="G45" t="s">
        <v>673</v>
      </c>
      <c r="H45" t="s">
        <v>635</v>
      </c>
      <c r="I45" t="s">
        <v>674</v>
      </c>
      <c r="J45" t="s">
        <v>675</v>
      </c>
      <c r="K45" s="250"/>
      <c r="L45" s="250"/>
    </row>
    <row r="46" spans="1:12" x14ac:dyDescent="0.25">
      <c r="G46" t="s">
        <v>940</v>
      </c>
      <c r="H46" t="s">
        <v>757</v>
      </c>
      <c r="I46" t="s">
        <v>941</v>
      </c>
      <c r="J46" t="s">
        <v>942</v>
      </c>
      <c r="K46" s="250"/>
      <c r="L46" s="250"/>
    </row>
    <row r="47" spans="1:12" x14ac:dyDescent="0.25">
      <c r="G47" t="s">
        <v>997</v>
      </c>
      <c r="H47" t="s">
        <v>723</v>
      </c>
      <c r="I47" t="s">
        <v>998</v>
      </c>
      <c r="K47" s="250"/>
      <c r="L47" s="250"/>
    </row>
    <row r="48" spans="1:12" x14ac:dyDescent="0.25">
      <c r="G48" t="s">
        <v>999</v>
      </c>
      <c r="H48" t="s">
        <v>654</v>
      </c>
      <c r="I48" t="s">
        <v>1000</v>
      </c>
      <c r="K48" s="250"/>
      <c r="L48" s="250"/>
    </row>
    <row r="49" spans="7:12" x14ac:dyDescent="0.25">
      <c r="G49" t="s">
        <v>648</v>
      </c>
      <c r="H49" t="s">
        <v>628</v>
      </c>
      <c r="I49" t="s">
        <v>649</v>
      </c>
      <c r="J49" t="s">
        <v>650</v>
      </c>
      <c r="K49" s="250"/>
      <c r="L49" s="250"/>
    </row>
    <row r="50" spans="7:12" x14ac:dyDescent="0.25">
      <c r="G50" t="s">
        <v>781</v>
      </c>
      <c r="H50" t="s">
        <v>666</v>
      </c>
      <c r="I50" t="s">
        <v>782</v>
      </c>
      <c r="K50" s="250"/>
      <c r="L50" s="250"/>
    </row>
    <row r="51" spans="7:12" x14ac:dyDescent="0.25">
      <c r="G51" t="s">
        <v>908</v>
      </c>
      <c r="H51" t="s">
        <v>739</v>
      </c>
      <c r="I51" t="s">
        <v>909</v>
      </c>
      <c r="J51" t="s">
        <v>905</v>
      </c>
      <c r="K51" s="250"/>
      <c r="L51" s="250"/>
    </row>
    <row r="52" spans="7:12" x14ac:dyDescent="0.25">
      <c r="G52" t="s">
        <v>791</v>
      </c>
      <c r="H52" t="s">
        <v>669</v>
      </c>
      <c r="I52" t="s">
        <v>792</v>
      </c>
      <c r="J52" t="s">
        <v>793</v>
      </c>
      <c r="K52" s="250"/>
      <c r="L52" s="250"/>
    </row>
    <row r="53" spans="7:12" x14ac:dyDescent="0.25">
      <c r="G53" t="s">
        <v>652</v>
      </c>
      <c r="H53" t="s">
        <v>628</v>
      </c>
      <c r="I53" t="s">
        <v>653</v>
      </c>
      <c r="J53" t="s">
        <v>634</v>
      </c>
      <c r="K53" s="250"/>
      <c r="L53" s="250"/>
    </row>
    <row r="54" spans="7:12" x14ac:dyDescent="0.25">
      <c r="G54" t="s">
        <v>1001</v>
      </c>
      <c r="H54" t="s">
        <v>1002</v>
      </c>
      <c r="I54" t="s">
        <v>1003</v>
      </c>
      <c r="K54" s="250"/>
      <c r="L54" s="250"/>
    </row>
    <row r="55" spans="7:12" x14ac:dyDescent="0.25">
      <c r="G55" t="s">
        <v>794</v>
      </c>
      <c r="H55" t="s">
        <v>669</v>
      </c>
      <c r="I55" t="s">
        <v>795</v>
      </c>
      <c r="K55" s="250"/>
      <c r="L55" s="250"/>
    </row>
    <row r="56" spans="7:12" x14ac:dyDescent="0.25">
      <c r="G56" t="s">
        <v>966</v>
      </c>
      <c r="H56" t="s">
        <v>764</v>
      </c>
      <c r="I56" t="s">
        <v>967</v>
      </c>
      <c r="J56" t="s">
        <v>968</v>
      </c>
      <c r="K56" s="250"/>
      <c r="L56" s="250"/>
    </row>
    <row r="57" spans="7:12" x14ac:dyDescent="0.25">
      <c r="G57" t="s">
        <v>828</v>
      </c>
      <c r="H57" t="s">
        <v>693</v>
      </c>
      <c r="I57" t="s">
        <v>829</v>
      </c>
      <c r="J57" t="s">
        <v>830</v>
      </c>
      <c r="K57" s="250"/>
      <c r="L57" s="250"/>
    </row>
    <row r="58" spans="7:12" x14ac:dyDescent="0.25">
      <c r="G58" t="s">
        <v>806</v>
      </c>
      <c r="H58" t="s">
        <v>676</v>
      </c>
      <c r="I58" t="s">
        <v>807</v>
      </c>
      <c r="J58" t="s">
        <v>805</v>
      </c>
      <c r="K58" s="250"/>
      <c r="L58" s="250"/>
    </row>
    <row r="59" spans="7:12" x14ac:dyDescent="0.25">
      <c r="G59" t="s">
        <v>1004</v>
      </c>
      <c r="H59" t="s">
        <v>839</v>
      </c>
      <c r="I59" t="s">
        <v>1005</v>
      </c>
      <c r="K59" s="250"/>
      <c r="L59" s="250"/>
    </row>
    <row r="60" spans="7:12" x14ac:dyDescent="0.25">
      <c r="G60" t="s">
        <v>860</v>
      </c>
      <c r="H60" t="s">
        <v>715</v>
      </c>
      <c r="I60" t="s">
        <v>861</v>
      </c>
      <c r="J60" t="s">
        <v>862</v>
      </c>
      <c r="K60" s="250"/>
      <c r="L60" s="250"/>
    </row>
    <row r="61" spans="7:12" x14ac:dyDescent="0.25">
      <c r="G61" t="s">
        <v>892</v>
      </c>
      <c r="H61" t="s">
        <v>727</v>
      </c>
      <c r="I61" t="s">
        <v>893</v>
      </c>
      <c r="J61" t="s">
        <v>894</v>
      </c>
      <c r="K61" s="250"/>
      <c r="L61" s="250"/>
    </row>
    <row r="62" spans="7:12" x14ac:dyDescent="0.25">
      <c r="G62" t="s">
        <v>655</v>
      </c>
      <c r="H62" t="s">
        <v>628</v>
      </c>
      <c r="I62" t="s">
        <v>656</v>
      </c>
      <c r="J62" t="s">
        <v>634</v>
      </c>
      <c r="K62" s="250"/>
      <c r="L62" s="250"/>
    </row>
    <row r="63" spans="7:12" x14ac:dyDescent="0.25">
      <c r="G63" t="s">
        <v>765</v>
      </c>
      <c r="H63" t="s">
        <v>723</v>
      </c>
      <c r="I63" t="s">
        <v>766</v>
      </c>
      <c r="K63" s="250"/>
      <c r="L63" s="250"/>
    </row>
    <row r="64" spans="7:12" x14ac:dyDescent="0.25">
      <c r="G64" t="s">
        <v>768</v>
      </c>
      <c r="H64" t="s">
        <v>723</v>
      </c>
      <c r="I64" t="s">
        <v>769</v>
      </c>
      <c r="K64" s="250"/>
      <c r="L64" s="250"/>
    </row>
    <row r="65" spans="7:12" x14ac:dyDescent="0.25">
      <c r="G65" t="s">
        <v>754</v>
      </c>
      <c r="H65" t="s">
        <v>660</v>
      </c>
      <c r="I65" t="s">
        <v>755</v>
      </c>
      <c r="J65" t="s">
        <v>756</v>
      </c>
      <c r="K65" s="250"/>
      <c r="L65" s="250"/>
    </row>
    <row r="66" spans="7:12" x14ac:dyDescent="0.25">
      <c r="G66" t="s">
        <v>863</v>
      </c>
      <c r="H66" t="s">
        <v>715</v>
      </c>
      <c r="I66" t="s">
        <v>864</v>
      </c>
      <c r="J66" t="s">
        <v>862</v>
      </c>
      <c r="K66" s="250"/>
      <c r="L66" s="250"/>
    </row>
    <row r="67" spans="7:12" x14ac:dyDescent="0.25">
      <c r="G67" t="s">
        <v>895</v>
      </c>
      <c r="H67" t="s">
        <v>727</v>
      </c>
      <c r="I67" t="s">
        <v>896</v>
      </c>
      <c r="J67" t="s">
        <v>897</v>
      </c>
      <c r="K67" s="250"/>
      <c r="L67" s="250"/>
    </row>
    <row r="68" spans="7:12" x14ac:dyDescent="0.25">
      <c r="G68" t="s">
        <v>783</v>
      </c>
      <c r="H68" t="s">
        <v>666</v>
      </c>
      <c r="I68" t="s">
        <v>784</v>
      </c>
      <c r="J68" t="s">
        <v>785</v>
      </c>
      <c r="K68" s="250"/>
      <c r="L68" s="250"/>
    </row>
    <row r="69" spans="7:12" x14ac:dyDescent="0.25">
      <c r="G69" t="s">
        <v>1006</v>
      </c>
      <c r="H69" t="s">
        <v>676</v>
      </c>
      <c r="I69" t="s">
        <v>1007</v>
      </c>
      <c r="K69" s="250"/>
      <c r="L69" s="250"/>
    </row>
    <row r="70" spans="7:12" x14ac:dyDescent="0.25">
      <c r="G70" t="s">
        <v>801</v>
      </c>
      <c r="H70" t="s">
        <v>672</v>
      </c>
      <c r="I70" t="s">
        <v>802</v>
      </c>
      <c r="J70" t="s">
        <v>800</v>
      </c>
      <c r="K70" s="250"/>
      <c r="L70" s="250"/>
    </row>
    <row r="71" spans="7:12" x14ac:dyDescent="0.25">
      <c r="G71" t="s">
        <v>658</v>
      </c>
      <c r="H71" t="s">
        <v>628</v>
      </c>
      <c r="I71" t="s">
        <v>659</v>
      </c>
      <c r="J71" t="s">
        <v>634</v>
      </c>
      <c r="K71" s="250"/>
      <c r="L71" s="250"/>
    </row>
    <row r="72" spans="7:12" x14ac:dyDescent="0.25">
      <c r="G72" t="s">
        <v>873</v>
      </c>
      <c r="H72" t="s">
        <v>723</v>
      </c>
      <c r="I72" t="s">
        <v>874</v>
      </c>
      <c r="J72" t="s">
        <v>875</v>
      </c>
      <c r="K72" s="259"/>
      <c r="L72" s="259"/>
    </row>
    <row r="73" spans="7:12" x14ac:dyDescent="0.25">
      <c r="G73" t="s">
        <v>857</v>
      </c>
      <c r="H73" t="s">
        <v>711</v>
      </c>
      <c r="I73" t="s">
        <v>858</v>
      </c>
      <c r="J73" t="s">
        <v>859</v>
      </c>
      <c r="K73" s="250"/>
      <c r="L73" s="250"/>
    </row>
    <row r="74" spans="7:12" x14ac:dyDescent="0.25">
      <c r="G74" t="s">
        <v>910</v>
      </c>
      <c r="H74" t="s">
        <v>739</v>
      </c>
      <c r="I74" t="s">
        <v>911</v>
      </c>
      <c r="J74" t="s">
        <v>905</v>
      </c>
      <c r="K74" s="250"/>
      <c r="L74" s="250"/>
    </row>
    <row r="75" spans="7:12" x14ac:dyDescent="0.25">
      <c r="G75" t="s">
        <v>953</v>
      </c>
      <c r="H75" t="s">
        <v>767</v>
      </c>
      <c r="I75" t="s">
        <v>954</v>
      </c>
      <c r="J75" t="s">
        <v>955</v>
      </c>
      <c r="K75" s="250"/>
      <c r="L75" s="250"/>
    </row>
    <row r="76" spans="7:12" x14ac:dyDescent="0.25">
      <c r="G76" t="s">
        <v>876</v>
      </c>
      <c r="H76" t="s">
        <v>723</v>
      </c>
      <c r="I76" t="s">
        <v>877</v>
      </c>
      <c r="J76" t="s">
        <v>878</v>
      </c>
      <c r="K76" s="250"/>
      <c r="L76" s="250"/>
    </row>
    <row r="77" spans="7:12" x14ac:dyDescent="0.25">
      <c r="G77" t="s">
        <v>971</v>
      </c>
      <c r="H77" t="s">
        <v>654</v>
      </c>
      <c r="I77" t="s">
        <v>972</v>
      </c>
      <c r="K77" s="250"/>
      <c r="L77" s="250"/>
    </row>
    <row r="78" spans="7:12" x14ac:dyDescent="0.25">
      <c r="G78" t="s">
        <v>819</v>
      </c>
      <c r="H78" t="s">
        <v>682</v>
      </c>
      <c r="I78" t="s">
        <v>820</v>
      </c>
      <c r="J78" t="s">
        <v>821</v>
      </c>
      <c r="K78" s="250"/>
      <c r="L78" s="250"/>
    </row>
    <row r="79" spans="7:12" x14ac:dyDescent="0.25">
      <c r="G79" t="s">
        <v>629</v>
      </c>
      <c r="H79" t="s">
        <v>624</v>
      </c>
      <c r="I79" t="s">
        <v>630</v>
      </c>
      <c r="J79" t="s">
        <v>627</v>
      </c>
      <c r="K79" s="250"/>
      <c r="L79" s="250"/>
    </row>
    <row r="80" spans="7:12" x14ac:dyDescent="0.25">
      <c r="G80" t="s">
        <v>932</v>
      </c>
      <c r="H80" t="s">
        <v>746</v>
      </c>
      <c r="I80" t="s">
        <v>933</v>
      </c>
      <c r="J80" t="s">
        <v>927</v>
      </c>
      <c r="K80" s="250"/>
      <c r="L80" s="250"/>
    </row>
    <row r="81" spans="7:12" x14ac:dyDescent="0.25">
      <c r="G81" t="s">
        <v>786</v>
      </c>
      <c r="H81" t="s">
        <v>666</v>
      </c>
      <c r="I81" t="s">
        <v>787</v>
      </c>
      <c r="J81" t="s">
        <v>788</v>
      </c>
      <c r="K81" s="250"/>
      <c r="L81" s="250"/>
    </row>
    <row r="82" spans="7:12" x14ac:dyDescent="0.25">
      <c r="G82" t="s">
        <v>1008</v>
      </c>
      <c r="H82" t="s">
        <v>651</v>
      </c>
      <c r="I82" t="s">
        <v>1009</v>
      </c>
      <c r="K82" s="250"/>
      <c r="L82" s="250"/>
    </row>
    <row r="83" spans="7:12" x14ac:dyDescent="0.25">
      <c r="G83" t="s">
        <v>720</v>
      </c>
      <c r="H83" t="s">
        <v>647</v>
      </c>
      <c r="I83" t="s">
        <v>721</v>
      </c>
      <c r="J83" t="s">
        <v>722</v>
      </c>
      <c r="K83" s="250"/>
      <c r="L83" s="250"/>
    </row>
    <row r="84" spans="7:12" x14ac:dyDescent="0.25">
      <c r="G84" t="s">
        <v>917</v>
      </c>
      <c r="H84" t="s">
        <v>743</v>
      </c>
      <c r="I84" t="s">
        <v>918</v>
      </c>
      <c r="J84" t="s">
        <v>919</v>
      </c>
      <c r="K84" s="250"/>
      <c r="L84" s="250"/>
    </row>
    <row r="85" spans="7:12" x14ac:dyDescent="0.25">
      <c r="G85" t="s">
        <v>661</v>
      </c>
      <c r="H85" t="s">
        <v>628</v>
      </c>
      <c r="I85" t="s">
        <v>662</v>
      </c>
      <c r="J85" t="s">
        <v>634</v>
      </c>
      <c r="K85" s="250"/>
      <c r="L85" s="250"/>
    </row>
    <row r="86" spans="7:12" x14ac:dyDescent="0.25">
      <c r="G86" t="s">
        <v>912</v>
      </c>
      <c r="H86" t="s">
        <v>739</v>
      </c>
      <c r="I86" t="s">
        <v>913</v>
      </c>
      <c r="J86" t="s">
        <v>905</v>
      </c>
      <c r="K86" s="250"/>
      <c r="L86" s="250"/>
    </row>
    <row r="87" spans="7:12" x14ac:dyDescent="0.25">
      <c r="G87" t="s">
        <v>825</v>
      </c>
      <c r="H87" t="s">
        <v>689</v>
      </c>
      <c r="I87" t="s">
        <v>826</v>
      </c>
      <c r="J87" t="s">
        <v>827</v>
      </c>
      <c r="K87" s="250"/>
      <c r="L87" s="250"/>
    </row>
    <row r="88" spans="7:12" x14ac:dyDescent="0.25">
      <c r="G88" t="s">
        <v>1010</v>
      </c>
      <c r="H88" t="s">
        <v>651</v>
      </c>
      <c r="I88" t="s">
        <v>1011</v>
      </c>
      <c r="K88" s="250"/>
      <c r="L88" s="250"/>
    </row>
    <row r="89" spans="7:12" x14ac:dyDescent="0.25">
      <c r="G89" t="s">
        <v>750</v>
      </c>
      <c r="H89" t="s">
        <v>657</v>
      </c>
      <c r="I89" t="s">
        <v>751</v>
      </c>
      <c r="J89" t="s">
        <v>752</v>
      </c>
      <c r="K89" s="250"/>
      <c r="L89" s="250"/>
    </row>
    <row r="90" spans="7:12" x14ac:dyDescent="0.25">
      <c r="G90" t="s">
        <v>664</v>
      </c>
      <c r="H90" t="s">
        <v>628</v>
      </c>
      <c r="I90" t="s">
        <v>665</v>
      </c>
      <c r="J90" t="s">
        <v>634</v>
      </c>
      <c r="K90" s="250"/>
      <c r="L90" s="250"/>
    </row>
    <row r="91" spans="7:12" x14ac:dyDescent="0.25">
      <c r="G91" t="s">
        <v>770</v>
      </c>
      <c r="H91" t="s">
        <v>663</v>
      </c>
      <c r="I91" t="s">
        <v>771</v>
      </c>
      <c r="J91" t="s">
        <v>692</v>
      </c>
      <c r="K91" s="259"/>
      <c r="L91" s="259"/>
    </row>
    <row r="92" spans="7:12" x14ac:dyDescent="0.25">
      <c r="G92" t="s">
        <v>770</v>
      </c>
      <c r="H92" t="s">
        <v>663</v>
      </c>
      <c r="I92" t="s">
        <v>771</v>
      </c>
      <c r="J92" t="s">
        <v>692</v>
      </c>
      <c r="K92" s="250"/>
      <c r="L92" s="250"/>
    </row>
    <row r="93" spans="7:12" x14ac:dyDescent="0.25">
      <c r="G93" t="s">
        <v>677</v>
      </c>
      <c r="H93" t="s">
        <v>635</v>
      </c>
      <c r="I93" t="s">
        <v>678</v>
      </c>
      <c r="J93" t="s">
        <v>675</v>
      </c>
      <c r="K93" s="250"/>
      <c r="L93" s="250"/>
    </row>
    <row r="94" spans="7:12" x14ac:dyDescent="0.25">
      <c r="G94" t="s">
        <v>898</v>
      </c>
      <c r="H94" t="s">
        <v>731</v>
      </c>
      <c r="I94" t="s">
        <v>899</v>
      </c>
      <c r="J94" t="s">
        <v>900</v>
      </c>
      <c r="K94" s="250"/>
      <c r="L94" s="250"/>
    </row>
    <row r="95" spans="7:12" x14ac:dyDescent="0.25">
      <c r="G95" t="s">
        <v>744</v>
      </c>
      <c r="H95" t="s">
        <v>654</v>
      </c>
      <c r="I95" t="s">
        <v>745</v>
      </c>
      <c r="J95" t="s">
        <v>742</v>
      </c>
      <c r="K95" s="250"/>
      <c r="L95" s="250"/>
    </row>
    <row r="96" spans="7:12" x14ac:dyDescent="0.25">
      <c r="G96" t="s">
        <v>703</v>
      </c>
      <c r="H96" t="s">
        <v>704</v>
      </c>
      <c r="I96" t="s">
        <v>705</v>
      </c>
      <c r="J96" t="s">
        <v>706</v>
      </c>
      <c r="K96" s="250"/>
      <c r="L96" s="250"/>
    </row>
    <row r="97" spans="7:12" x14ac:dyDescent="0.25">
      <c r="G97" t="s">
        <v>831</v>
      </c>
      <c r="H97" t="s">
        <v>693</v>
      </c>
      <c r="I97" t="s">
        <v>832</v>
      </c>
      <c r="J97" t="s">
        <v>833</v>
      </c>
      <c r="K97" s="250"/>
      <c r="L97" s="250"/>
    </row>
    <row r="98" spans="7:12" x14ac:dyDescent="0.25">
      <c r="G98" t="s">
        <v>848</v>
      </c>
      <c r="H98" t="s">
        <v>699</v>
      </c>
      <c r="I98" t="s">
        <v>849</v>
      </c>
      <c r="J98" t="s">
        <v>850</v>
      </c>
      <c r="K98" s="250"/>
      <c r="L98" s="250"/>
    </row>
    <row r="99" spans="7:12" x14ac:dyDescent="0.25">
      <c r="G99" t="s">
        <v>1012</v>
      </c>
      <c r="H99" t="s">
        <v>699</v>
      </c>
      <c r="I99" t="s">
        <v>849</v>
      </c>
      <c r="K99" s="250"/>
      <c r="L99" s="250"/>
    </row>
    <row r="100" spans="7:12" x14ac:dyDescent="0.25">
      <c r="G100" t="s">
        <v>822</v>
      </c>
      <c r="H100" t="s">
        <v>685</v>
      </c>
      <c r="I100" t="s">
        <v>823</v>
      </c>
      <c r="J100" t="s">
        <v>824</v>
      </c>
      <c r="K100" s="250"/>
      <c r="L100" s="250"/>
    </row>
    <row r="101" spans="7:12" x14ac:dyDescent="0.25">
      <c r="G101" t="s">
        <v>920</v>
      </c>
      <c r="H101" t="s">
        <v>743</v>
      </c>
      <c r="I101" t="s">
        <v>921</v>
      </c>
      <c r="J101" t="s">
        <v>922</v>
      </c>
      <c r="K101" s="250"/>
      <c r="L101" s="250"/>
    </row>
    <row r="102" spans="7:12" x14ac:dyDescent="0.25">
      <c r="G102" t="s">
        <v>961</v>
      </c>
      <c r="H102" t="s">
        <v>760</v>
      </c>
      <c r="I102" t="s">
        <v>962</v>
      </c>
      <c r="K102" s="250"/>
      <c r="L102" s="250"/>
    </row>
    <row r="103" spans="7:12" x14ac:dyDescent="0.25">
      <c r="G103" t="s">
        <v>697</v>
      </c>
      <c r="H103" t="s">
        <v>641</v>
      </c>
      <c r="I103" t="s">
        <v>698</v>
      </c>
      <c r="J103" t="s">
        <v>692</v>
      </c>
      <c r="K103" s="250"/>
      <c r="L103" s="250"/>
    </row>
    <row r="104" spans="7:12" x14ac:dyDescent="0.25">
      <c r="G104" t="s">
        <v>879</v>
      </c>
      <c r="H104" t="s">
        <v>723</v>
      </c>
      <c r="I104" t="s">
        <v>880</v>
      </c>
      <c r="J104" t="s">
        <v>881</v>
      </c>
      <c r="K104" s="250"/>
      <c r="L104" s="250"/>
    </row>
    <row r="105" spans="7:12" x14ac:dyDescent="0.25">
      <c r="G105" t="s">
        <v>943</v>
      </c>
      <c r="H105" t="s">
        <v>944</v>
      </c>
      <c r="I105" t="s">
        <v>945</v>
      </c>
      <c r="J105" t="s">
        <v>946</v>
      </c>
      <c r="K105" s="250"/>
      <c r="L105" s="250"/>
    </row>
    <row r="106" spans="7:12" x14ac:dyDescent="0.25">
      <c r="G106" t="s">
        <v>1013</v>
      </c>
      <c r="H106" t="s">
        <v>993</v>
      </c>
      <c r="I106" t="s">
        <v>1014</v>
      </c>
      <c r="K106" s="250"/>
      <c r="L106" s="250"/>
    </row>
    <row r="107" spans="7:12" x14ac:dyDescent="0.25">
      <c r="G107" t="s">
        <v>963</v>
      </c>
      <c r="H107" t="s">
        <v>760</v>
      </c>
      <c r="I107" t="s">
        <v>964</v>
      </c>
      <c r="J107" t="s">
        <v>965</v>
      </c>
      <c r="K107" s="250"/>
      <c r="L107" s="250"/>
    </row>
    <row r="108" spans="7:12" x14ac:dyDescent="0.25">
      <c r="G108" t="s">
        <v>1015</v>
      </c>
      <c r="H108" t="s">
        <v>1002</v>
      </c>
      <c r="I108" t="s">
        <v>1016</v>
      </c>
      <c r="K108" s="250"/>
      <c r="L108" s="250"/>
    </row>
    <row r="109" spans="7:12" x14ac:dyDescent="0.25">
      <c r="G109" t="s">
        <v>842</v>
      </c>
      <c r="H109" t="s">
        <v>696</v>
      </c>
      <c r="I109" t="s">
        <v>843</v>
      </c>
      <c r="J109" t="s">
        <v>844</v>
      </c>
      <c r="K109" s="250"/>
      <c r="L109" s="250"/>
    </row>
    <row r="110" spans="7:12" x14ac:dyDescent="0.25">
      <c r="G110" t="s">
        <v>1017</v>
      </c>
      <c r="H110" t="s">
        <v>1018</v>
      </c>
      <c r="I110" t="s">
        <v>1019</v>
      </c>
      <c r="K110" s="250"/>
      <c r="L110" s="250"/>
    </row>
    <row r="111" spans="7:12" x14ac:dyDescent="0.25">
      <c r="G111" t="s">
        <v>724</v>
      </c>
      <c r="H111" t="s">
        <v>651</v>
      </c>
      <c r="I111" t="s">
        <v>725</v>
      </c>
      <c r="J111" t="s">
        <v>726</v>
      </c>
      <c r="K111" s="250"/>
      <c r="L111" s="250"/>
    </row>
    <row r="112" spans="7:12" x14ac:dyDescent="0.25">
      <c r="G112" t="s">
        <v>834</v>
      </c>
      <c r="H112" t="s">
        <v>693</v>
      </c>
      <c r="I112" t="s">
        <v>835</v>
      </c>
      <c r="J112" t="s">
        <v>833</v>
      </c>
      <c r="K112" s="259"/>
      <c r="L112" s="259"/>
    </row>
    <row r="113" spans="7:12" x14ac:dyDescent="0.25">
      <c r="G113" t="s">
        <v>865</v>
      </c>
      <c r="H113" t="s">
        <v>715</v>
      </c>
      <c r="I113" t="s">
        <v>866</v>
      </c>
      <c r="J113" t="s">
        <v>867</v>
      </c>
      <c r="K113" s="259"/>
      <c r="L113" s="259"/>
    </row>
    <row r="114" spans="7:12" x14ac:dyDescent="0.25">
      <c r="G114" t="s">
        <v>956</v>
      </c>
      <c r="H114" t="s">
        <v>767</v>
      </c>
      <c r="I114" t="s">
        <v>957</v>
      </c>
      <c r="J114" t="s">
        <v>958</v>
      </c>
      <c r="K114" s="250"/>
      <c r="L114" s="250"/>
    </row>
    <row r="115" spans="7:12" x14ac:dyDescent="0.25">
      <c r="G115" t="s">
        <v>680</v>
      </c>
      <c r="H115" t="s">
        <v>635</v>
      </c>
      <c r="I115" t="s">
        <v>681</v>
      </c>
      <c r="J115" t="s">
        <v>675</v>
      </c>
      <c r="K115" s="250"/>
      <c r="L115" s="250"/>
    </row>
    <row r="116" spans="7:12" x14ac:dyDescent="0.25">
      <c r="G116" t="s">
        <v>923</v>
      </c>
      <c r="H116" t="s">
        <v>743</v>
      </c>
      <c r="I116" t="s">
        <v>924</v>
      </c>
      <c r="J116" t="s">
        <v>922</v>
      </c>
      <c r="K116" s="250"/>
      <c r="L116" s="250"/>
    </row>
    <row r="117" spans="7:12" x14ac:dyDescent="0.25">
      <c r="G117" t="s">
        <v>1020</v>
      </c>
      <c r="H117" t="s">
        <v>1002</v>
      </c>
      <c r="I117" t="s">
        <v>1021</v>
      </c>
      <c r="K117" s="250"/>
      <c r="L117" s="250"/>
    </row>
    <row r="118" spans="7:12" x14ac:dyDescent="0.25">
      <c r="G118" t="s">
        <v>789</v>
      </c>
      <c r="H118" t="s">
        <v>666</v>
      </c>
      <c r="I118" t="s">
        <v>790</v>
      </c>
      <c r="J118" t="s">
        <v>788</v>
      </c>
      <c r="K118" s="250"/>
      <c r="L118" s="250"/>
    </row>
    <row r="119" spans="7:12" x14ac:dyDescent="0.25">
      <c r="G119" t="s">
        <v>747</v>
      </c>
      <c r="H119" t="s">
        <v>654</v>
      </c>
      <c r="I119" t="s">
        <v>748</v>
      </c>
      <c r="J119" t="s">
        <v>742</v>
      </c>
      <c r="K119" s="250"/>
      <c r="L119" s="250"/>
    </row>
    <row r="120" spans="7:12" x14ac:dyDescent="0.25">
      <c r="G120" t="s">
        <v>732</v>
      </c>
      <c r="H120" t="s">
        <v>651</v>
      </c>
      <c r="I120" t="s">
        <v>733</v>
      </c>
      <c r="J120" t="s">
        <v>734</v>
      </c>
      <c r="K120" s="250"/>
      <c r="L120" s="250"/>
    </row>
    <row r="121" spans="7:12" x14ac:dyDescent="0.25">
      <c r="G121" t="s">
        <v>836</v>
      </c>
      <c r="H121" t="s">
        <v>693</v>
      </c>
      <c r="I121" t="s">
        <v>837</v>
      </c>
      <c r="K121" s="259"/>
      <c r="L121" s="259"/>
    </row>
    <row r="122" spans="7:12" x14ac:dyDescent="0.25">
      <c r="G122" t="s">
        <v>796</v>
      </c>
      <c r="H122" t="s">
        <v>669</v>
      </c>
      <c r="I122" t="s">
        <v>797</v>
      </c>
      <c r="J122" t="s">
        <v>793</v>
      </c>
      <c r="K122" s="250"/>
      <c r="L122" s="250"/>
    </row>
    <row r="123" spans="7:12" x14ac:dyDescent="0.25">
      <c r="G123" t="s">
        <v>667</v>
      </c>
      <c r="H123" t="s">
        <v>628</v>
      </c>
      <c r="I123" t="s">
        <v>668</v>
      </c>
      <c r="J123" t="s">
        <v>634</v>
      </c>
      <c r="K123" s="250"/>
      <c r="L123" s="250"/>
    </row>
    <row r="124" spans="7:12" x14ac:dyDescent="0.25">
      <c r="G124" t="s">
        <v>838</v>
      </c>
      <c r="H124" t="s">
        <v>839</v>
      </c>
      <c r="I124" t="s">
        <v>840</v>
      </c>
      <c r="J124" t="s">
        <v>841</v>
      </c>
    </row>
    <row r="125" spans="7:12" x14ac:dyDescent="0.25">
      <c r="G125" t="s">
        <v>683</v>
      </c>
      <c r="H125" t="s">
        <v>635</v>
      </c>
      <c r="I125" t="s">
        <v>684</v>
      </c>
      <c r="J125" t="s">
        <v>675</v>
      </c>
    </row>
    <row r="126" spans="7:12" x14ac:dyDescent="0.25">
      <c r="G126" t="s">
        <v>670</v>
      </c>
      <c r="H126" t="s">
        <v>628</v>
      </c>
      <c r="I126" t="s">
        <v>671</v>
      </c>
      <c r="J126" t="s">
        <v>634</v>
      </c>
    </row>
    <row r="127" spans="7:12" x14ac:dyDescent="0.25">
      <c r="G127" t="s">
        <v>808</v>
      </c>
      <c r="H127" t="s">
        <v>676</v>
      </c>
      <c r="I127" t="s">
        <v>809</v>
      </c>
      <c r="J127" t="s">
        <v>810</v>
      </c>
    </row>
    <row r="128" spans="7:12" x14ac:dyDescent="0.25">
      <c r="G128" t="s">
        <v>851</v>
      </c>
      <c r="H128" t="s">
        <v>702</v>
      </c>
      <c r="I128" t="s">
        <v>852</v>
      </c>
      <c r="J128" t="s">
        <v>853</v>
      </c>
    </row>
    <row r="129" spans="7:10" x14ac:dyDescent="0.25">
      <c r="G129" t="s">
        <v>811</v>
      </c>
      <c r="H129" t="s">
        <v>676</v>
      </c>
      <c r="I129" t="s">
        <v>812</v>
      </c>
      <c r="J129" t="s">
        <v>813</v>
      </c>
    </row>
    <row r="130" spans="7:10" x14ac:dyDescent="0.25">
      <c r="G130" t="s">
        <v>959</v>
      </c>
      <c r="H130" t="s">
        <v>767</v>
      </c>
      <c r="I130" t="s">
        <v>960</v>
      </c>
      <c r="J130" t="s">
        <v>958</v>
      </c>
    </row>
    <row r="131" spans="7:10" x14ac:dyDescent="0.25">
      <c r="G131" t="s">
        <v>814</v>
      </c>
      <c r="H131" t="s">
        <v>676</v>
      </c>
      <c r="I131" t="s">
        <v>815</v>
      </c>
    </row>
    <row r="132" spans="7:10" x14ac:dyDescent="0.25">
      <c r="G132" t="s">
        <v>882</v>
      </c>
      <c r="H132" t="s">
        <v>723</v>
      </c>
      <c r="I132" t="s">
        <v>773</v>
      </c>
      <c r="J132" t="s">
        <v>883</v>
      </c>
    </row>
    <row r="133" spans="7:10" x14ac:dyDescent="0.25">
      <c r="G133" t="s">
        <v>700</v>
      </c>
      <c r="H133" t="s">
        <v>641</v>
      </c>
      <c r="I133" t="s">
        <v>701</v>
      </c>
      <c r="J133" t="s">
        <v>692</v>
      </c>
    </row>
    <row r="134" spans="7:10" x14ac:dyDescent="0.25">
      <c r="G134" t="s">
        <v>700</v>
      </c>
      <c r="H134" t="s">
        <v>663</v>
      </c>
      <c r="I134" t="s">
        <v>701</v>
      </c>
      <c r="J134" t="s">
        <v>692</v>
      </c>
    </row>
    <row r="135" spans="7:10" x14ac:dyDescent="0.25">
      <c r="G135" t="s">
        <v>884</v>
      </c>
      <c r="H135" t="s">
        <v>723</v>
      </c>
      <c r="I135" t="s">
        <v>885</v>
      </c>
      <c r="J135" t="s">
        <v>886</v>
      </c>
    </row>
    <row r="136" spans="7:10" x14ac:dyDescent="0.25">
      <c r="G136" t="s">
        <v>772</v>
      </c>
      <c r="H136" t="s">
        <v>723</v>
      </c>
      <c r="I136" t="s">
        <v>773</v>
      </c>
      <c r="J136" t="s">
        <v>774</v>
      </c>
    </row>
    <row r="137" spans="7:10" x14ac:dyDescent="0.25">
      <c r="G137" t="s">
        <v>887</v>
      </c>
      <c r="H137" t="s">
        <v>723</v>
      </c>
      <c r="I137" t="s">
        <v>773</v>
      </c>
    </row>
    <row r="138" spans="7:10" x14ac:dyDescent="0.25">
      <c r="G138" t="s">
        <v>1022</v>
      </c>
      <c r="H138" t="s">
        <v>1023</v>
      </c>
      <c r="I138" t="s">
        <v>1024</v>
      </c>
    </row>
    <row r="139" spans="7:10" x14ac:dyDescent="0.25">
      <c r="G139" t="s">
        <v>1025</v>
      </c>
      <c r="H139" t="s">
        <v>1026</v>
      </c>
      <c r="I139" t="s">
        <v>1027</v>
      </c>
    </row>
    <row r="140" spans="7:10" x14ac:dyDescent="0.25">
      <c r="G140" t="s">
        <v>1028</v>
      </c>
      <c r="H140" t="s">
        <v>1026</v>
      </c>
      <c r="I140" t="s">
        <v>1029</v>
      </c>
    </row>
    <row r="141" spans="7:10" x14ac:dyDescent="0.25">
      <c r="G141" t="s">
        <v>1030</v>
      </c>
      <c r="H141" t="s">
        <v>1026</v>
      </c>
      <c r="I141" t="s">
        <v>1031</v>
      </c>
    </row>
    <row r="142" spans="7:10" x14ac:dyDescent="0.25">
      <c r="G142" t="s">
        <v>1032</v>
      </c>
      <c r="H142" t="s">
        <v>1026</v>
      </c>
      <c r="I142" t="s">
        <v>1033</v>
      </c>
    </row>
    <row r="143" spans="7:10" x14ac:dyDescent="0.25">
      <c r="G143" t="s">
        <v>1034</v>
      </c>
      <c r="H143" t="s">
        <v>1035</v>
      </c>
      <c r="I143" t="s">
        <v>1036</v>
      </c>
    </row>
    <row r="144" spans="7:10" x14ac:dyDescent="0.25">
      <c r="G144" t="s">
        <v>1037</v>
      </c>
      <c r="H144" t="s">
        <v>1035</v>
      </c>
      <c r="I144" t="s">
        <v>1038</v>
      </c>
    </row>
    <row r="145" spans="7:9" x14ac:dyDescent="0.25">
      <c r="G145" t="s">
        <v>1039</v>
      </c>
      <c r="H145" t="s">
        <v>1040</v>
      </c>
      <c r="I145" t="s">
        <v>1041</v>
      </c>
    </row>
    <row r="146" spans="7:9" x14ac:dyDescent="0.25">
      <c r="G146" t="s">
        <v>761</v>
      </c>
      <c r="H146" t="s">
        <v>723</v>
      </c>
      <c r="I146" t="s">
        <v>871</v>
      </c>
    </row>
    <row r="147" spans="7:9" x14ac:dyDescent="0.25">
      <c r="G147" t="s">
        <v>1042</v>
      </c>
      <c r="H147" t="s">
        <v>1043</v>
      </c>
      <c r="I147" t="s">
        <v>1044</v>
      </c>
    </row>
    <row r="148" spans="7:9" x14ac:dyDescent="0.25">
      <c r="G148" t="s">
        <v>1045</v>
      </c>
      <c r="H148" t="s">
        <v>1043</v>
      </c>
      <c r="I148" t="s">
        <v>1046</v>
      </c>
    </row>
    <row r="149" spans="7:9" x14ac:dyDescent="0.25">
      <c r="G149" t="s">
        <v>1047</v>
      </c>
      <c r="H149" t="s">
        <v>1043</v>
      </c>
      <c r="I149" t="s">
        <v>1048</v>
      </c>
    </row>
    <row r="150" spans="7:9" x14ac:dyDescent="0.25">
      <c r="G150" t="s">
        <v>1049</v>
      </c>
      <c r="H150" t="s">
        <v>1043</v>
      </c>
      <c r="I150" t="s">
        <v>1050</v>
      </c>
    </row>
    <row r="151" spans="7:9" x14ac:dyDescent="0.25">
      <c r="G151" t="s">
        <v>1051</v>
      </c>
      <c r="H151" t="s">
        <v>1052</v>
      </c>
      <c r="I151" t="s">
        <v>1053</v>
      </c>
    </row>
    <row r="152" spans="7:9" x14ac:dyDescent="0.25">
      <c r="G152" t="s">
        <v>1054</v>
      </c>
      <c r="H152" t="s">
        <v>1052</v>
      </c>
      <c r="I152" t="s">
        <v>1055</v>
      </c>
    </row>
    <row r="153" spans="7:9" x14ac:dyDescent="0.25">
      <c r="G153" t="s">
        <v>1056</v>
      </c>
      <c r="H153" t="s">
        <v>749</v>
      </c>
      <c r="I153" t="s">
        <v>1057</v>
      </c>
    </row>
    <row r="154" spans="7:9" x14ac:dyDescent="0.25">
      <c r="G154" t="s">
        <v>1058</v>
      </c>
      <c r="H154" t="s">
        <v>1059</v>
      </c>
      <c r="I154" t="s">
        <v>1060</v>
      </c>
    </row>
    <row r="155" spans="7:9" x14ac:dyDescent="0.25">
      <c r="G155" t="s">
        <v>1061</v>
      </c>
      <c r="H155" t="s">
        <v>1062</v>
      </c>
      <c r="I155" t="s">
        <v>1063</v>
      </c>
    </row>
    <row r="156" spans="7:9" x14ac:dyDescent="0.25">
      <c r="G156" t="s">
        <v>1064</v>
      </c>
      <c r="H156" t="s">
        <v>1062</v>
      </c>
      <c r="I156" t="s">
        <v>1065</v>
      </c>
    </row>
    <row r="157" spans="7:9" x14ac:dyDescent="0.25">
      <c r="G157" t="s">
        <v>1066</v>
      </c>
      <c r="H157" t="s">
        <v>1067</v>
      </c>
      <c r="I157" t="s">
        <v>1068</v>
      </c>
    </row>
    <row r="158" spans="7:9" x14ac:dyDescent="0.25">
      <c r="G158" t="s">
        <v>1069</v>
      </c>
      <c r="H158" t="s">
        <v>1026</v>
      </c>
      <c r="I158" t="s">
        <v>1070</v>
      </c>
    </row>
    <row r="159" spans="7:9" x14ac:dyDescent="0.25">
      <c r="G159" t="s">
        <v>1071</v>
      </c>
      <c r="H159" t="s">
        <v>1040</v>
      </c>
      <c r="I159" t="s">
        <v>1072</v>
      </c>
    </row>
    <row r="160" spans="7:9" x14ac:dyDescent="0.25">
      <c r="G160" t="s">
        <v>1073</v>
      </c>
      <c r="H160" t="s">
        <v>669</v>
      </c>
      <c r="I160" t="s">
        <v>1074</v>
      </c>
    </row>
  </sheetData>
  <sheetProtection algorithmName="SHA-512" hashValue="PWgJZmTjHyURABHpWQYtAhq3n5qkuM/aNNYcJe2NiDVL4oTp3Y2fTkATenB2CUUBOWwWbJE3alUwoiQXPq9nyQ==" saltValue="fbExQSju4KSDcfS+pFtFjA==" spinCount="100000" sheet="1" objects="1" scenarios="1"/>
  <hyperlinks>
    <hyperlink ref="I157" r:id="rId1" xr:uid="{00000000-0004-0000-0400-000000000000}"/>
    <hyperlink ref="I158" r:id="rId2" xr:uid="{00000000-0004-0000-0400-000001000000}"/>
    <hyperlink ref="I159" r:id="rId3" xr:uid="{00000000-0004-0000-0400-000002000000}"/>
    <hyperlink ref="I160" r:id="rId4" display="mailto:mike@hospitality-ins.com" xr:uid="{00000000-0004-0000-0400-00000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Rivington Application</vt:lpstr>
      <vt:lpstr>Vehicle List</vt:lpstr>
      <vt:lpstr>Driver List</vt:lpstr>
      <vt:lpstr>Data</vt:lpstr>
      <vt:lpstr>Broker List</vt:lpstr>
      <vt:lpstr>'Driver List'!Print_Area</vt:lpstr>
      <vt:lpstr>'Rivington Application'!Print_Area</vt:lpstr>
      <vt:lpstr>'Vehicle List'!Print_Area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Greenberg</dc:creator>
  <cp:lastModifiedBy>wael mohammad</cp:lastModifiedBy>
  <cp:lastPrinted>2019-09-20T17:35:41Z</cp:lastPrinted>
  <dcterms:created xsi:type="dcterms:W3CDTF">2017-11-08T21:46:00Z</dcterms:created>
  <dcterms:modified xsi:type="dcterms:W3CDTF">2025-10-28T00:18:07Z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{E7882610-6C8B-4F2A-8218-0F2542FADB24}</vt:lpwstr>
  </property>
</Properties>
</file>